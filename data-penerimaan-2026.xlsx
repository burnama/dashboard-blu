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udi/Documents/Data Penerimaan 2026 Silateks/"/>
    </mc:Choice>
  </mc:AlternateContent>
  <xr:revisionPtr revIDLastSave="0" documentId="13_ncr:1_{4D835730-63BB-264E-9196-31D90DF93CDE}" xr6:coauthVersionLast="47" xr6:coauthVersionMax="47" xr10:uidLastSave="{00000000-0000-0000-0000-000000000000}"/>
  <bookViews>
    <workbookView xWindow="0" yWindow="660" windowWidth="14700" windowHeight="16900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<sst xmlns="http://schemas.openxmlformats.org/spreadsheetml/2006/main" count="57" uniqueCount="29">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</sst>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baseColWidth="10" defaultColWidth="8.83203125" defaultRowHeight="15" x14ac:dyDescent="0.2"/>
  <cols>
    <col min="1" max="1" width="11.1640625" style="1" customWidth="1"/>
    <col min="2" max="2" width="17.1640625" style="1" customWidth="1"/>
    <col min="3" max="7" width="17.1640625" style="1" bestFit="1" customWidth="1"/>
    <col min="8" max="8" width="18.83203125" style="1" bestFit="1" customWidth="1"/>
    <col min="9" max="9" width="17.1640625" style="1" bestFit="1" customWidth="1"/>
    <col min="10" max="10" width="18.83203125" style="1" bestFit="1" customWidth="1"/>
    <col min="11" max="11" width="17.1640625" style="1" bestFit="1" customWidth="1"/>
    <col min="12" max="14" width="18.83203125" style="1" bestFit="1" customWidth="1"/>
    <col min="15" max="15" width="16.33203125" style="1" bestFit="1" customWidth="1"/>
    <col min="16" max="16" width="15" style="1" bestFit="1" customWidth="1"/>
    <col min="17" max="17" width="15.1640625" style="1" bestFit="1" customWidth="1"/>
    <col min="18" max="16384" width="8.83203125" style="1"/>
  </cols>
  <sheetData>
    <row r="1" spans="1:17" x14ac:dyDescent="0.2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2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2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2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2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2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2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2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2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2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2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2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2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2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2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2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2">
      <c r="B17" s="3"/>
    </row>
    <row r="19" spans="2:5" x14ac:dyDescent="0.2">
      <c r="C19" s="1">
        <f>C14+B14</f>
        <v>10629156</v>
      </c>
      <c r="E19" s="1">
        <f>235805873-19612581</f>
        <v>216193292</v>
      </c>
    </row>
    <row r="30" spans="2:5" x14ac:dyDescent="0.2">
      <c r="B30" s="3"/>
    </row>
    <row r="31" spans="2:5" x14ac:dyDescent="0.2">
      <c r="B31" s="3"/>
    </row>
    <row r="32" spans="2:5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140" zoomScaleNormal="140" workbookViewId="0">
      <selection activeCell="E14" sqref="E14"/>
    </sheetView>
  </sheetViews>
  <sheetFormatPr baseColWidth="10" defaultColWidth="8.83203125" defaultRowHeight="15" x14ac:dyDescent="0.2"/>
  <cols>
    <col min="1" max="1" width="11.1640625" style="1" customWidth="1"/>
    <col min="2" max="7" width="17.1640625" style="1" bestFit="1" customWidth="1"/>
    <col min="8" max="8" width="18.83203125" style="1" bestFit="1" customWidth="1"/>
    <col min="9" max="9" width="17.1640625" style="1" bestFit="1" customWidth="1"/>
    <col min="10" max="10" width="18.83203125" style="1" bestFit="1" customWidth="1"/>
    <col min="11" max="11" width="17.1640625" style="1" bestFit="1" customWidth="1"/>
    <col min="12" max="14" width="18.83203125" style="1" bestFit="1" customWidth="1"/>
    <col min="15" max="15" width="16.33203125" style="1" bestFit="1" customWidth="1"/>
    <col min="16" max="16" width="15" style="1" bestFit="1" customWidth="1"/>
    <col min="17" max="17" width="15.1640625" style="1" bestFit="1" customWidth="1"/>
    <col min="18" max="16384" width="8.83203125" style="1"/>
  </cols>
  <sheetData>
    <row r="1" spans="1:16" x14ac:dyDescent="0.2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2">
      <c r="A2" s="6" t="s">
        <v>23</v>
      </c>
      <c r="B2" s="1">
        <v>110095000</v>
      </c>
      <c r="C2" s="1">
        <v>130765000</v>
      </c>
      <c r="D2" s="1">
        <v>121845000</v>
      </c>
      <c r="E2" s="1">
        <v>108845000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2">
      <c r="A3" s="6" t="s">
        <v>19</v>
      </c>
      <c r="B3" s="1">
        <v>121670000</v>
      </c>
      <c r="C3" s="1">
        <v>147510000</v>
      </c>
      <c r="D3" s="1">
        <v>47560000</v>
      </c>
      <c r="E3" s="1">
        <v>84080000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2">
      <c r="A4" s="6" t="s">
        <v>17</v>
      </c>
      <c r="B4" s="1">
        <v>19285000</v>
      </c>
      <c r="C4" s="1">
        <v>84950000</v>
      </c>
      <c r="D4" s="1">
        <v>18495000</v>
      </c>
      <c r="E4" s="1">
        <v>46340000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2">
      <c r="A5" s="6" t="s">
        <v>21</v>
      </c>
      <c r="B5" s="1">
        <v>20800000</v>
      </c>
      <c r="C5" s="1">
        <v>10400000</v>
      </c>
      <c r="D5" s="1">
        <v>6150000</v>
      </c>
      <c r="E5" s="1">
        <v>18300000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2">
      <c r="A6" s="6" t="s">
        <v>24</v>
      </c>
      <c r="B6" s="1">
        <v>76242100</v>
      </c>
      <c r="C6" s="1">
        <v>154300000</v>
      </c>
      <c r="D6" s="1">
        <v>56250000</v>
      </c>
      <c r="E6" s="1">
        <v>97800000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2">
      <c r="A7" s="6" t="s">
        <v>16</v>
      </c>
      <c r="B7" s="1">
        <v>0</v>
      </c>
      <c r="C7" s="1">
        <v>0</v>
      </c>
      <c r="D7" s="1">
        <v>0</v>
      </c>
      <c r="E7" s="1">
        <v>49994200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2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2">
      <c r="A9" s="6" t="s">
        <v>15</v>
      </c>
      <c r="B9" s="1">
        <v>0</v>
      </c>
      <c r="C9" s="1">
        <v>0</v>
      </c>
      <c r="D9" s="1">
        <v>0</v>
      </c>
      <c r="E9" s="1">
        <v>34817000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2">
      <c r="A10" s="6" t="s">
        <v>22</v>
      </c>
      <c r="B10" s="1">
        <v>50000000</v>
      </c>
      <c r="C10" s="1">
        <v>4000000</v>
      </c>
      <c r="D10" s="1">
        <v>157125000</v>
      </c>
      <c r="E10" s="1">
        <v>117000000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2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2">
      <c r="A12" s="6" t="s">
        <v>26</v>
      </c>
      <c r="B12" s="1">
        <v>42506500</v>
      </c>
      <c r="C12" s="1">
        <v>32412500</v>
      </c>
      <c r="D12" s="1">
        <v>60900000</v>
      </c>
      <c r="E12" s="1">
        <v>138875000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2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2">
      <c r="A14" s="6" t="s">
        <v>13</v>
      </c>
      <c r="B14" s="1">
        <v>26000000</v>
      </c>
      <c r="C14" s="1">
        <v>26000000</v>
      </c>
      <c r="D14" s="1">
        <v>26000000</v>
      </c>
      <c r="E14" s="1">
        <v>26000000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2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2">
      <c r="A16" s="4" t="s">
        <v>28</v>
      </c>
      <c r="B16" s="4">
        <f t="shared" ref="B16:E16" si="0">SUM(B2:B15)</f>
        <v>490898600</v>
      </c>
      <c r="C16" s="4">
        <f t="shared" si="0"/>
        <v>649137500</v>
      </c>
      <c r="D16" s="4">
        <f t="shared" si="0"/>
        <v>494325000</v>
      </c>
      <c r="E16" s="4">
        <f t="shared" si="0"/>
        <v>722051200</v>
      </c>
      <c r="O16" s="7"/>
      <c r="P16" s="1"/>
    </row>
    <row r="30" spans="2:2" x14ac:dyDescent="0.2">
      <c r="B30" s="3"/>
    </row>
    <row r="31" spans="2:2" x14ac:dyDescent="0.2">
      <c r="B31" s="3"/>
    </row>
    <row r="32" spans="2:2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2026-04-27T04:25:35Z</dcterms:modified>
</cp:coreProperties>
</file>