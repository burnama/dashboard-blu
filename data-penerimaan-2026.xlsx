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di/Documents/Data Penerimaan 2026 Silateks/"/>
    </mc:Choice>
  </mc:AlternateContent>
  <xr:revisionPtr revIDLastSave="0" documentId="13_ncr:1_{27BAE163-6A9B-EB4D-A7F8-0084EAEEC53B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2" l="1"/>
  <c r="D16" i="2"/>
  <c r="E16" i="2"/>
  <c r="B16" i="2"/>
  <c r="C16" i="2"/>
  <c r="C19" i="1"/>
  <c r="C16" i="1"/>
  <c r="D16" i="1"/>
  <c r="E16" i="1"/>
  <c r="F16" i="1"/>
  <c r="G16" i="1"/>
  <c r="H16" i="1"/>
  <c r="I16" i="1"/>
  <c r="J16" i="1"/>
  <c r="K16" i="1"/>
  <c r="L16" i="1"/>
  <c r="M16" i="1"/>
  <c r="O16" i="1"/>
  <c r="N3" i="1"/>
  <c r="E19" i="1"/>
  <c r="N9" i="1"/>
  <c r="N10" i="1"/>
  <c r="O12" i="1"/>
  <c r="O10" i="1"/>
  <c r="O9" i="1"/>
  <c r="N4" i="1"/>
  <c r="P4" i="1" s="1"/>
  <c r="N5" i="1"/>
  <c r="P5" i="1" s="1"/>
  <c r="N6" i="1"/>
  <c r="P6" i="1" s="1"/>
  <c r="N7" i="1"/>
  <c r="P7" i="1" s="1"/>
  <c r="N8" i="1"/>
  <c r="P8" i="1" s="1"/>
  <c r="N11" i="1"/>
  <c r="P11" i="1" s="1"/>
  <c r="N12" i="1"/>
  <c r="P12" i="1" s="1"/>
  <c r="N13" i="1"/>
  <c r="P13" i="1" s="1"/>
  <c r="N14" i="1"/>
  <c r="P14" i="1" s="1"/>
  <c r="N15" i="1"/>
  <c r="P15" i="1" s="1"/>
  <c r="P10" i="1" l="1"/>
  <c r="P9" i="1"/>
  <c r="P3" i="1"/>
  <c r="N2" i="1" l="1"/>
  <c r="P2" i="1" l="1"/>
  <c r="N16" i="1"/>
  <c r="P16" i="1" s="1"/>
</calcChain>
</file>

<file path=xl/sharedStrings.xml><?xml version="1.0" encoding="utf-8"?>
<sst xmlns="http://schemas.openxmlformats.org/spreadsheetml/2006/main" count="57" uniqueCount="29">
  <si>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</si>
  <si>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</si>
  <si>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</si>
  <si>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</si>
  <si>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</si>
  <si>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</si>
  <si>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</si>
  <si>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</si>
  <si>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</si>
  <si>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</si>
  <si>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</si>
  <si>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</si>
  <si>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total</t>
  </si>
  <si>
    <t>aset</t>
  </si>
  <si>
    <t>bagi_hasil</t>
  </si>
  <si>
    <t>bimteks</t>
  </si>
  <si>
    <t>inspeksi</t>
  </si>
  <si>
    <t>kalibrasi</t>
  </si>
  <si>
    <t>konsultansi</t>
  </si>
  <si>
    <t>lingkungan</t>
  </si>
  <si>
    <t>lph</t>
  </si>
  <si>
    <t>masker</t>
  </si>
  <si>
    <t>opti</t>
  </si>
  <si>
    <t>pengujian</t>
  </si>
  <si>
    <t>sertifikasi</t>
  </si>
  <si>
    <t>uji_profi</t>
  </si>
  <si>
    <t>verifikasi</t>
  </si>
  <si>
    <t>layanan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</si>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</sst>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??_-;_-@_-"/>
    <numFmt numFmtId="165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 vertical="top"/>
    </xf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53787</xdr:colOff>
      <xdr:row>5</xdr:row>
      <xdr:rowOff>44823</xdr:rowOff>
    </xdr:from>
    <xdr:to>
      <xdr:col>27</xdr:col>
      <xdr:colOff>563631</xdr:colOff>
      <xdr:row>29</xdr:row>
      <xdr:rowOff>106120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6C4A19-DB07-417A-AE8D-067A00A67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6493" y="941294"/>
          <a:ext cx="5996244" cy="4364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zoomScale="85" zoomScaleNormal="85" workbookViewId="0">
      <selection activeCell="M15" sqref="M15"/>
    </sheetView>
  </sheetViews>
  <sheetFormatPr baseColWidth="10" defaultColWidth="8.83203125" defaultRowHeight="15" x14ac:dyDescent="0.2"/>
  <cols>
    <col min="1" max="1" width="11.1640625" style="1" customWidth="1"/>
    <col min="2" max="2" width="17.1640625" style="1" customWidth="1"/>
    <col min="3" max="7" width="17.1640625" style="1" bestFit="1" customWidth="1"/>
    <col min="8" max="8" width="18.83203125" style="1" bestFit="1" customWidth="1"/>
    <col min="9" max="9" width="17.1640625" style="1" bestFit="1" customWidth="1"/>
    <col min="10" max="10" width="18.83203125" style="1" bestFit="1" customWidth="1"/>
    <col min="11" max="11" width="17.1640625" style="1" bestFit="1" customWidth="1"/>
    <col min="12" max="14" width="18.83203125" style="1" bestFit="1" customWidth="1"/>
    <col min="15" max="15" width="16.33203125" style="1" bestFit="1" customWidth="1"/>
    <col min="16" max="16" width="15" style="1" bestFit="1" customWidth="1"/>
    <col min="17" max="17" width="15.1640625" style="1" bestFit="1" customWidth="1"/>
    <col min="18" max="16384" width="8.83203125" style="1"/>
  </cols>
  <sheetData>
    <row r="1" spans="1:17" x14ac:dyDescent="0.2">
      <c r="A1" s="5" t="s">
        <v>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7" x14ac:dyDescent="0.2">
      <c r="A2" s="6" t="s">
        <v>23</v>
      </c>
      <c r="B2" s="1">
        <v>154367661</v>
      </c>
      <c r="C2" s="1">
        <v>219521679</v>
      </c>
      <c r="D2" s="1">
        <v>194618608</v>
      </c>
      <c r="E2" s="1">
        <v>104274239</v>
      </c>
      <c r="F2" s="1">
        <v>156708430</v>
      </c>
      <c r="G2" s="1">
        <v>192159119</v>
      </c>
      <c r="H2" s="1">
        <v>226309237</v>
      </c>
      <c r="I2" s="1">
        <v>195449724</v>
      </c>
      <c r="J2" s="1">
        <v>263772493</v>
      </c>
      <c r="K2" s="1">
        <v>164158345</v>
      </c>
      <c r="L2" s="1">
        <v>304367136</v>
      </c>
      <c r="M2" s="1">
        <v>185993329</v>
      </c>
      <c r="N2" s="1">
        <f t="shared" ref="N2:N15" si="0">SUM(B2:M2)</f>
        <v>2361700000</v>
      </c>
      <c r="O2" s="7">
        <v>2361700000</v>
      </c>
      <c r="P2" s="1">
        <f>N2-O2</f>
        <v>0</v>
      </c>
      <c r="Q2" s="1">
        <v>33868247</v>
      </c>
    </row>
    <row r="3" spans="1:17" x14ac:dyDescent="0.2">
      <c r="A3" s="6" t="s">
        <v>19</v>
      </c>
      <c r="B3" s="1">
        <v>150000000</v>
      </c>
      <c r="C3" s="1">
        <v>136608297</v>
      </c>
      <c r="D3" s="1">
        <v>136643549</v>
      </c>
      <c r="E3" s="1">
        <v>41886566</v>
      </c>
      <c r="F3" s="1">
        <v>67474672</v>
      </c>
      <c r="G3" s="1">
        <v>135978354</v>
      </c>
      <c r="H3" s="1">
        <v>136879514</v>
      </c>
      <c r="I3" s="1">
        <v>172018648</v>
      </c>
      <c r="J3" s="1">
        <v>177303357</v>
      </c>
      <c r="K3" s="1">
        <v>138364210</v>
      </c>
      <c r="L3" s="1">
        <v>144514600</v>
      </c>
      <c r="M3" s="1">
        <v>127378233</v>
      </c>
      <c r="N3" s="1">
        <f t="shared" si="0"/>
        <v>1565050000</v>
      </c>
      <c r="O3" s="7">
        <v>1565050000</v>
      </c>
      <c r="P3" s="1">
        <f t="shared" ref="P3:P16" si="1">N3-O3</f>
        <v>0</v>
      </c>
      <c r="Q3" s="1">
        <v>121939633</v>
      </c>
    </row>
    <row r="4" spans="1:17" x14ac:dyDescent="0.2">
      <c r="A4" s="6" t="s">
        <v>17</v>
      </c>
      <c r="B4" s="1">
        <v>47694387</v>
      </c>
      <c r="C4" s="1">
        <v>64882295</v>
      </c>
      <c r="D4" s="1">
        <v>61289706</v>
      </c>
      <c r="E4" s="1">
        <v>27461648</v>
      </c>
      <c r="F4" s="1">
        <v>54503955</v>
      </c>
      <c r="G4" s="1">
        <v>42280262</v>
      </c>
      <c r="H4" s="1">
        <v>30057074</v>
      </c>
      <c r="I4" s="1">
        <v>47666593</v>
      </c>
      <c r="J4" s="1">
        <v>113019335</v>
      </c>
      <c r="K4" s="1">
        <v>136259747</v>
      </c>
      <c r="L4" s="1">
        <v>106653990</v>
      </c>
      <c r="M4" s="1">
        <v>59231008</v>
      </c>
      <c r="N4" s="1">
        <f t="shared" si="0"/>
        <v>791000000</v>
      </c>
      <c r="O4" s="7">
        <v>791000000</v>
      </c>
      <c r="P4" s="1">
        <f t="shared" si="1"/>
        <v>0</v>
      </c>
      <c r="Q4" s="1">
        <v>12215000</v>
      </c>
    </row>
    <row r="5" spans="1:17" x14ac:dyDescent="0.2">
      <c r="A5" s="6" t="s">
        <v>21</v>
      </c>
      <c r="B5" s="1">
        <v>3804590</v>
      </c>
      <c r="C5" s="1">
        <v>6177870</v>
      </c>
      <c r="D5" s="1">
        <v>10743927</v>
      </c>
      <c r="E5" s="1">
        <v>7731317</v>
      </c>
      <c r="F5" s="1">
        <v>11271471</v>
      </c>
      <c r="G5" s="1">
        <v>9255581</v>
      </c>
      <c r="H5" s="1">
        <v>13134709</v>
      </c>
      <c r="I5" s="1">
        <v>21660709</v>
      </c>
      <c r="J5" s="1">
        <v>8454164</v>
      </c>
      <c r="K5" s="1">
        <v>4619934</v>
      </c>
      <c r="L5" s="1">
        <v>19269927</v>
      </c>
      <c r="M5" s="1">
        <v>8175801</v>
      </c>
      <c r="N5" s="1">
        <f t="shared" si="0"/>
        <v>124300000</v>
      </c>
      <c r="O5" s="7">
        <v>124300000</v>
      </c>
      <c r="P5" s="1">
        <f t="shared" si="1"/>
        <v>0</v>
      </c>
      <c r="Q5" s="1">
        <v>3756118</v>
      </c>
    </row>
    <row r="6" spans="1:17" x14ac:dyDescent="0.2">
      <c r="A6" s="6" t="s">
        <v>24</v>
      </c>
      <c r="B6" s="1">
        <v>93947158</v>
      </c>
      <c r="C6" s="1">
        <v>146586370</v>
      </c>
      <c r="D6" s="1">
        <v>109929610</v>
      </c>
      <c r="E6" s="1">
        <v>82992857</v>
      </c>
      <c r="F6" s="1">
        <v>79454612</v>
      </c>
      <c r="G6" s="1">
        <v>159668387</v>
      </c>
      <c r="H6" s="1">
        <v>138303352</v>
      </c>
      <c r="I6" s="1">
        <v>212457375</v>
      </c>
      <c r="J6" s="1">
        <v>241427603</v>
      </c>
      <c r="K6" s="1">
        <v>155045623</v>
      </c>
      <c r="L6" s="1">
        <v>362308149</v>
      </c>
      <c r="M6" s="1">
        <v>195378904</v>
      </c>
      <c r="N6" s="1">
        <f t="shared" si="0"/>
        <v>1977500000</v>
      </c>
      <c r="O6" s="7">
        <v>1977500000</v>
      </c>
      <c r="P6" s="1">
        <f t="shared" si="1"/>
        <v>0</v>
      </c>
      <c r="Q6" s="1">
        <v>41550000</v>
      </c>
    </row>
    <row r="7" spans="1:17" x14ac:dyDescent="0.2">
      <c r="A7" s="6" t="s">
        <v>16</v>
      </c>
      <c r="B7" s="1">
        <v>15481132</v>
      </c>
      <c r="C7" s="1">
        <v>0</v>
      </c>
      <c r="D7" s="1">
        <v>37017741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24753763</v>
      </c>
      <c r="L7" s="1">
        <v>0</v>
      </c>
      <c r="M7" s="1">
        <v>58347364</v>
      </c>
      <c r="N7" s="1">
        <f t="shared" si="0"/>
        <v>135600000</v>
      </c>
      <c r="O7" s="7">
        <v>135600000</v>
      </c>
      <c r="P7" s="1">
        <f t="shared" si="1"/>
        <v>0</v>
      </c>
      <c r="Q7" s="1">
        <v>-600000</v>
      </c>
    </row>
    <row r="8" spans="1:17" x14ac:dyDescent="0.2">
      <c r="A8" s="6" t="s">
        <v>18</v>
      </c>
      <c r="B8" s="1">
        <v>4677840</v>
      </c>
      <c r="C8" s="1">
        <v>4678287</v>
      </c>
      <c r="D8" s="1">
        <v>28175647</v>
      </c>
      <c r="E8" s="1">
        <v>18430687</v>
      </c>
      <c r="F8" s="1">
        <v>41098313</v>
      </c>
      <c r="G8" s="1">
        <v>24786096</v>
      </c>
      <c r="H8" s="1">
        <v>19984231</v>
      </c>
      <c r="I8" s="1">
        <v>16795228</v>
      </c>
      <c r="J8" s="1">
        <v>45428465</v>
      </c>
      <c r="K8" s="1">
        <v>8897573</v>
      </c>
      <c r="L8" s="1">
        <v>59494412</v>
      </c>
      <c r="M8" s="1">
        <v>55253221</v>
      </c>
      <c r="N8" s="1">
        <f t="shared" si="0"/>
        <v>327700000</v>
      </c>
      <c r="O8" s="7">
        <v>327700000</v>
      </c>
      <c r="P8" s="1">
        <f t="shared" si="1"/>
        <v>0</v>
      </c>
      <c r="Q8" s="1">
        <v>12300000</v>
      </c>
    </row>
    <row r="9" spans="1:17" x14ac:dyDescent="0.2">
      <c r="A9" s="6" t="s">
        <v>15</v>
      </c>
      <c r="B9" s="1">
        <v>21431560</v>
      </c>
      <c r="C9" s="1">
        <v>36124161</v>
      </c>
      <c r="D9" s="1">
        <v>2294947</v>
      </c>
      <c r="E9" s="1">
        <v>17169601</v>
      </c>
      <c r="F9" s="1">
        <v>32741240</v>
      </c>
      <c r="G9" s="1">
        <v>104509323</v>
      </c>
      <c r="H9" s="1">
        <v>23765448</v>
      </c>
      <c r="I9" s="1">
        <v>849980</v>
      </c>
      <c r="J9" s="1">
        <v>44198974</v>
      </c>
      <c r="K9" s="1">
        <v>84998026</v>
      </c>
      <c r="L9" s="1">
        <v>140416740</v>
      </c>
      <c r="M9" s="1">
        <v>0</v>
      </c>
      <c r="N9" s="1">
        <f t="shared" si="0"/>
        <v>508500000</v>
      </c>
      <c r="O9" s="7">
        <f>452000000+56500000</f>
        <v>508500000</v>
      </c>
      <c r="P9" s="1">
        <f t="shared" si="1"/>
        <v>0</v>
      </c>
      <c r="Q9" s="1">
        <v>40600000</v>
      </c>
    </row>
    <row r="10" spans="1:17" x14ac:dyDescent="0.2">
      <c r="A10" s="6" t="s">
        <v>22</v>
      </c>
      <c r="B10" s="1">
        <v>50000000</v>
      </c>
      <c r="C10" s="1">
        <v>77145355</v>
      </c>
      <c r="D10" s="1">
        <v>37946171</v>
      </c>
      <c r="E10" s="1">
        <v>216193292</v>
      </c>
      <c r="F10" s="1">
        <v>92391826</v>
      </c>
      <c r="G10" s="1">
        <v>96809487</v>
      </c>
      <c r="H10" s="1">
        <v>352370792</v>
      </c>
      <c r="I10" s="1">
        <v>46821161</v>
      </c>
      <c r="J10" s="1">
        <v>208044375</v>
      </c>
      <c r="K10" s="1">
        <v>112711429</v>
      </c>
      <c r="L10" s="1">
        <v>94246792</v>
      </c>
      <c r="M10" s="1">
        <v>152119320</v>
      </c>
      <c r="N10" s="1">
        <f t="shared" si="0"/>
        <v>1536800000</v>
      </c>
      <c r="O10" s="7">
        <f>1525500000+11300000</f>
        <v>1536800000</v>
      </c>
      <c r="P10" s="1">
        <f t="shared" si="1"/>
        <v>0</v>
      </c>
      <c r="Q10" s="1">
        <v>120200000</v>
      </c>
    </row>
    <row r="11" spans="1:17" x14ac:dyDescent="0.2">
      <c r="A11" s="6" t="s">
        <v>25</v>
      </c>
      <c r="B11" s="1">
        <v>2600000</v>
      </c>
      <c r="C11" s="1">
        <v>0</v>
      </c>
      <c r="D11" s="1">
        <v>2000000</v>
      </c>
      <c r="E11" s="1">
        <v>2000000</v>
      </c>
      <c r="F11" s="1">
        <v>2000000</v>
      </c>
      <c r="G11" s="1">
        <v>2000000</v>
      </c>
      <c r="H11" s="1">
        <v>2000000</v>
      </c>
      <c r="I11" s="1">
        <v>2000000</v>
      </c>
      <c r="J11" s="1">
        <v>2000000</v>
      </c>
      <c r="K11" s="1">
        <v>2000000</v>
      </c>
      <c r="L11" s="1">
        <v>2000000</v>
      </c>
      <c r="M11" s="1">
        <v>2000000</v>
      </c>
      <c r="N11" s="1">
        <f t="shared" si="0"/>
        <v>22600000</v>
      </c>
      <c r="O11" s="7">
        <v>22600000</v>
      </c>
      <c r="P11" s="1">
        <f t="shared" si="1"/>
        <v>0</v>
      </c>
      <c r="Q11" s="1">
        <v>-2600000</v>
      </c>
    </row>
    <row r="12" spans="1:17" x14ac:dyDescent="0.2">
      <c r="A12" s="6" t="s">
        <v>26</v>
      </c>
      <c r="B12" s="3">
        <v>180676040</v>
      </c>
      <c r="C12" s="1">
        <v>137883050</v>
      </c>
      <c r="D12" s="1">
        <v>122178982</v>
      </c>
      <c r="E12" s="1">
        <v>215847559</v>
      </c>
      <c r="F12" s="1">
        <v>71993300</v>
      </c>
      <c r="G12" s="1">
        <v>116816011</v>
      </c>
      <c r="H12" s="1">
        <v>82580550</v>
      </c>
      <c r="I12" s="1">
        <v>40919721</v>
      </c>
      <c r="J12" s="1">
        <v>21915607</v>
      </c>
      <c r="K12" s="1">
        <v>120947685</v>
      </c>
      <c r="L12" s="1">
        <v>155877669</v>
      </c>
      <c r="M12" s="1">
        <v>167463826</v>
      </c>
      <c r="N12" s="1">
        <f t="shared" si="0"/>
        <v>1435100000</v>
      </c>
      <c r="O12" s="7">
        <f>1299500000+135600000</f>
        <v>1435100000</v>
      </c>
      <c r="P12" s="1">
        <f t="shared" si="1"/>
        <v>0</v>
      </c>
      <c r="Q12" s="1">
        <v>-90099999</v>
      </c>
    </row>
    <row r="13" spans="1:17" x14ac:dyDescent="0.2">
      <c r="A13" s="6" t="s">
        <v>20</v>
      </c>
      <c r="B13" s="3">
        <v>63343288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12302309</v>
      </c>
      <c r="K13" s="1">
        <v>6305414</v>
      </c>
      <c r="L13" s="1">
        <v>0</v>
      </c>
      <c r="M13" s="1">
        <v>31048989</v>
      </c>
      <c r="N13" s="1">
        <f t="shared" si="0"/>
        <v>113000000</v>
      </c>
      <c r="O13" s="7">
        <v>113000000</v>
      </c>
      <c r="P13" s="1">
        <f t="shared" si="1"/>
        <v>0</v>
      </c>
      <c r="Q13" s="1">
        <v>-59860000</v>
      </c>
    </row>
    <row r="14" spans="1:17" x14ac:dyDescent="0.2">
      <c r="A14" s="6" t="s">
        <v>13</v>
      </c>
      <c r="B14" s="3"/>
      <c r="C14" s="1">
        <v>10629156</v>
      </c>
      <c r="D14" s="1">
        <v>1916325</v>
      </c>
      <c r="E14" s="1">
        <v>426416</v>
      </c>
      <c r="F14" s="1">
        <v>71155870</v>
      </c>
      <c r="G14" s="1">
        <v>35588886</v>
      </c>
      <c r="H14" s="1">
        <v>35588886</v>
      </c>
      <c r="I14" s="1">
        <v>35588886</v>
      </c>
      <c r="J14" s="1">
        <v>35588886</v>
      </c>
      <c r="K14" s="1">
        <v>36533360</v>
      </c>
      <c r="L14" s="1">
        <v>35588886</v>
      </c>
      <c r="M14" s="1">
        <v>17794443</v>
      </c>
      <c r="N14" s="1">
        <f t="shared" si="0"/>
        <v>316400000</v>
      </c>
      <c r="O14" s="7">
        <v>316400000</v>
      </c>
      <c r="P14" s="1">
        <f t="shared" si="1"/>
        <v>0</v>
      </c>
      <c r="Q14" s="1">
        <v>8860002</v>
      </c>
    </row>
    <row r="15" spans="1:17" x14ac:dyDescent="0.2">
      <c r="A15" s="6" t="s">
        <v>14</v>
      </c>
      <c r="B15" s="3">
        <v>1980500</v>
      </c>
      <c r="C15" s="1">
        <v>4717945</v>
      </c>
      <c r="D15" s="1">
        <v>5337294</v>
      </c>
      <c r="E15" s="1">
        <v>5482811</v>
      </c>
      <c r="F15" s="1">
        <v>0</v>
      </c>
      <c r="G15" s="1">
        <v>7709376</v>
      </c>
      <c r="H15" s="1">
        <v>8748399</v>
      </c>
      <c r="I15" s="1">
        <v>16304361</v>
      </c>
      <c r="J15" s="1">
        <v>10020315</v>
      </c>
      <c r="K15" s="1">
        <v>10617492</v>
      </c>
      <c r="L15" s="1">
        <v>10626530</v>
      </c>
      <c r="M15" s="1">
        <v>3204977</v>
      </c>
      <c r="N15" s="1">
        <f t="shared" si="0"/>
        <v>84750000</v>
      </c>
      <c r="O15" s="7">
        <v>84750000</v>
      </c>
      <c r="P15" s="1">
        <f t="shared" si="1"/>
        <v>0</v>
      </c>
      <c r="Q15" s="1">
        <v>1949999</v>
      </c>
    </row>
    <row r="16" spans="1:17" s="4" customFormat="1" x14ac:dyDescent="0.2">
      <c r="A16" s="4" t="s">
        <v>28</v>
      </c>
      <c r="B16" s="3">
        <v>546801094</v>
      </c>
      <c r="C16" s="4">
        <f t="shared" ref="C16:M16" si="2">SUM(C2:C15)</f>
        <v>844954465</v>
      </c>
      <c r="D16" s="4">
        <f t="shared" si="2"/>
        <v>750092507</v>
      </c>
      <c r="E16" s="4">
        <f t="shared" si="2"/>
        <v>739896993</v>
      </c>
      <c r="F16" s="4">
        <f t="shared" si="2"/>
        <v>680793689</v>
      </c>
      <c r="G16" s="4">
        <f t="shared" si="2"/>
        <v>927560882</v>
      </c>
      <c r="H16" s="4">
        <f t="shared" si="2"/>
        <v>1069722192</v>
      </c>
      <c r="I16" s="4">
        <f t="shared" si="2"/>
        <v>808532386</v>
      </c>
      <c r="J16" s="4">
        <f t="shared" si="2"/>
        <v>1183475883</v>
      </c>
      <c r="K16" s="4">
        <f t="shared" si="2"/>
        <v>1006212601</v>
      </c>
      <c r="L16" s="4">
        <f t="shared" si="2"/>
        <v>1435364831</v>
      </c>
      <c r="M16" s="4">
        <f t="shared" si="2"/>
        <v>1063389415</v>
      </c>
      <c r="N16" s="4">
        <f>SUM(N2:N15)</f>
        <v>11300000000</v>
      </c>
      <c r="O16" s="7">
        <f>SUM(O2:O15)</f>
        <v>11300000000</v>
      </c>
      <c r="P16" s="1">
        <f t="shared" si="1"/>
        <v>0</v>
      </c>
      <c r="Q16" s="4">
        <v>244079000</v>
      </c>
    </row>
    <row r="17" spans="2:5" x14ac:dyDescent="0.2">
      <c r="B17" s="3"/>
    </row>
    <row r="19" spans="2:5" x14ac:dyDescent="0.2">
      <c r="C19" s="1">
        <f>C14+B14</f>
        <v>10629156</v>
      </c>
      <c r="E19" s="1">
        <f>235805873-19612581</f>
        <v>216193292</v>
      </c>
    </row>
    <row r="30" spans="2:5" x14ac:dyDescent="0.2">
      <c r="B30" s="3"/>
    </row>
    <row r="31" spans="2:5" x14ac:dyDescent="0.2">
      <c r="B31" s="3"/>
    </row>
    <row r="32" spans="2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  <row r="39" spans="2:2" x14ac:dyDescent="0.2">
      <c r="B39" s="3"/>
    </row>
    <row r="40" spans="2:2" x14ac:dyDescent="0.2">
      <c r="B40" s="3"/>
    </row>
    <row r="41" spans="2:2" x14ac:dyDescent="0.2">
      <c r="B41" s="3"/>
    </row>
    <row r="42" spans="2:2" x14ac:dyDescent="0.2">
      <c r="B42" s="3"/>
    </row>
    <row r="43" spans="2:2" x14ac:dyDescent="0.2">
      <c r="B43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CE06-4D80-480E-A70B-AC3F6E37D88C}">
  <dimension ref="A1:P43"/>
  <sheetViews>
    <sheetView tabSelected="1" zoomScale="140" zoomScaleNormal="140" workbookViewId="0">
      <selection activeCell="F16" sqref="B16:F16"/>
    </sheetView>
  </sheetViews>
  <sheetFormatPr baseColWidth="10" defaultColWidth="8.83203125" defaultRowHeight="15" x14ac:dyDescent="0.2"/>
  <cols>
    <col min="1" max="1" width="11.1640625" style="1" customWidth="1"/>
    <col min="2" max="7" width="17.1640625" style="1" bestFit="1" customWidth="1"/>
    <col min="8" max="8" width="18.83203125" style="1" bestFit="1" customWidth="1"/>
    <col min="9" max="9" width="17.1640625" style="1" bestFit="1" customWidth="1"/>
    <col min="10" max="10" width="18.83203125" style="1" bestFit="1" customWidth="1"/>
    <col min="11" max="11" width="17.1640625" style="1" bestFit="1" customWidth="1"/>
    <col min="12" max="14" width="18.83203125" style="1" bestFit="1" customWidth="1"/>
    <col min="15" max="15" width="16.33203125" style="1" bestFit="1" customWidth="1"/>
    <col min="16" max="16" width="15" style="1" bestFit="1" customWidth="1"/>
    <col min="17" max="17" width="15.1640625" style="1" bestFit="1" customWidth="1"/>
    <col min="18" max="16384" width="8.83203125" style="1"/>
  </cols>
  <sheetData>
    <row r="1" spans="1:16" x14ac:dyDescent="0.2">
      <c r="A1" s="5" t="s">
        <v>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</row>
    <row r="2" spans="1:16" x14ac:dyDescent="0.2">
      <c r="A2" s="6" t="s">
        <v>23</v>
      </c>
      <c r="B2" s="1">
        <v>110095000</v>
      </c>
      <c r="C2" s="1">
        <v>130765000</v>
      </c>
      <c r="D2" s="1">
        <v>121845000</v>
      </c>
      <c r="E2" s="1">
        <v>163716250</v>
      </c>
      <c r="F2" s="1">
        <v>195438000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O2" s="7"/>
    </row>
    <row r="3" spans="1:16" x14ac:dyDescent="0.2">
      <c r="A3" s="6" t="s">
        <v>19</v>
      </c>
      <c r="B3" s="1">
        <v>121670000</v>
      </c>
      <c r="C3" s="1">
        <v>147510000</v>
      </c>
      <c r="D3" s="1">
        <v>47560000</v>
      </c>
      <c r="E3" s="1">
        <v>132550000</v>
      </c>
      <c r="F3" s="1">
        <v>89410000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O3" s="7"/>
    </row>
    <row r="4" spans="1:16" x14ac:dyDescent="0.2">
      <c r="A4" s="6" t="s">
        <v>17</v>
      </c>
      <c r="B4" s="1">
        <v>19285000</v>
      </c>
      <c r="C4" s="1">
        <v>84950000</v>
      </c>
      <c r="D4" s="1">
        <v>18495000</v>
      </c>
      <c r="E4" s="1">
        <v>46340000</v>
      </c>
      <c r="F4" s="1">
        <v>34675000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O4" s="7"/>
    </row>
    <row r="5" spans="1:16" x14ac:dyDescent="0.2">
      <c r="A5" s="6" t="s">
        <v>21</v>
      </c>
      <c r="B5" s="1">
        <v>20800000</v>
      </c>
      <c r="C5" s="1">
        <v>10400000</v>
      </c>
      <c r="D5" s="1">
        <v>6150000</v>
      </c>
      <c r="E5" s="1">
        <v>18300000</v>
      </c>
      <c r="F5" s="1">
        <v>17050000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O5" s="7"/>
    </row>
    <row r="6" spans="1:16" x14ac:dyDescent="0.2">
      <c r="A6" s="6" t="s">
        <v>24</v>
      </c>
      <c r="B6" s="1">
        <v>76242100</v>
      </c>
      <c r="C6" s="1">
        <v>154300000</v>
      </c>
      <c r="D6" s="1">
        <v>56250000</v>
      </c>
      <c r="E6" s="1">
        <v>115500000</v>
      </c>
      <c r="F6" s="1">
        <v>111700000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O6" s="7"/>
    </row>
    <row r="7" spans="1:16" x14ac:dyDescent="0.2">
      <c r="A7" s="6" t="s">
        <v>16</v>
      </c>
      <c r="B7" s="1">
        <v>0</v>
      </c>
      <c r="C7" s="1">
        <v>0</v>
      </c>
      <c r="D7" s="1">
        <v>0</v>
      </c>
      <c r="E7" s="1">
        <v>49994200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O7" s="7"/>
    </row>
    <row r="8" spans="1:16" x14ac:dyDescent="0.2">
      <c r="A8" s="6" t="s">
        <v>18</v>
      </c>
      <c r="B8" s="1">
        <v>0</v>
      </c>
      <c r="C8" s="1">
        <v>58800000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O8" s="7"/>
    </row>
    <row r="9" spans="1:16" x14ac:dyDescent="0.2">
      <c r="A9" s="6" t="s">
        <v>15</v>
      </c>
      <c r="B9" s="1">
        <v>0</v>
      </c>
      <c r="C9" s="1">
        <v>0</v>
      </c>
      <c r="D9" s="1">
        <v>0</v>
      </c>
      <c r="E9" s="1">
        <v>46017000</v>
      </c>
      <c r="F9" s="1">
        <v>22940000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O9" s="7"/>
    </row>
    <row r="10" spans="1:16" x14ac:dyDescent="0.2">
      <c r="A10" s="6" t="s">
        <v>22</v>
      </c>
      <c r="B10" s="1">
        <v>50000000</v>
      </c>
      <c r="C10" s="1">
        <v>4000000</v>
      </c>
      <c r="D10" s="1">
        <v>157125000</v>
      </c>
      <c r="E10" s="1">
        <v>133750000</v>
      </c>
      <c r="F10" s="1">
        <v>29750000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O10" s="7"/>
    </row>
    <row r="11" spans="1:16" x14ac:dyDescent="0.2">
      <c r="A11" s="6" t="s">
        <v>25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O11" s="7"/>
    </row>
    <row r="12" spans="1:16" x14ac:dyDescent="0.2">
      <c r="A12" s="6" t="s">
        <v>26</v>
      </c>
      <c r="B12" s="1">
        <v>42506500</v>
      </c>
      <c r="C12" s="1">
        <v>32412500</v>
      </c>
      <c r="D12" s="1">
        <v>60900000</v>
      </c>
      <c r="E12" s="1">
        <v>311947500</v>
      </c>
      <c r="F12" s="1">
        <v>103992500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O12" s="7"/>
    </row>
    <row r="13" spans="1:16" x14ac:dyDescent="0.2">
      <c r="A13" s="6" t="s">
        <v>20</v>
      </c>
      <c r="B13" s="1">
        <v>24300000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O13" s="7"/>
    </row>
    <row r="14" spans="1:16" x14ac:dyDescent="0.2">
      <c r="A14" s="6" t="s">
        <v>13</v>
      </c>
      <c r="B14" s="1">
        <v>26000000</v>
      </c>
      <c r="C14" s="1">
        <v>26000000</v>
      </c>
      <c r="D14" s="1">
        <v>26000000</v>
      </c>
      <c r="E14" s="1">
        <v>26000000</v>
      </c>
      <c r="F14" s="1">
        <v>26000000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O14" s="7"/>
    </row>
    <row r="15" spans="1:16" x14ac:dyDescent="0.2">
      <c r="A15" s="6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O15" s="7"/>
    </row>
    <row r="16" spans="1:16" s="4" customFormat="1" x14ac:dyDescent="0.2">
      <c r="A16" s="4" t="s">
        <v>28</v>
      </c>
      <c r="B16" s="4">
        <f t="shared" ref="B16:F16" si="0">SUM(B2:B15)</f>
        <v>490898600</v>
      </c>
      <c r="C16" s="4">
        <f t="shared" si="0"/>
        <v>649137500</v>
      </c>
      <c r="D16" s="4">
        <f t="shared" si="0"/>
        <v>494325000</v>
      </c>
      <c r="E16" s="4">
        <f t="shared" si="0"/>
        <v>1044114950</v>
      </c>
      <c r="F16" s="4">
        <f t="shared" si="0"/>
        <v>630955500</v>
      </c>
      <c r="O16" s="7"/>
      <c r="P16" s="1"/>
    </row>
    <row r="30" spans="2:2" x14ac:dyDescent="0.2">
      <c r="B30" s="3"/>
    </row>
    <row r="31" spans="2:2" x14ac:dyDescent="0.2">
      <c r="B31" s="3"/>
    </row>
    <row r="32" spans="2:2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  <row r="39" spans="2:2" x14ac:dyDescent="0.2">
      <c r="B39" s="3"/>
    </row>
    <row r="40" spans="2:2" x14ac:dyDescent="0.2">
      <c r="B40" s="3"/>
    </row>
    <row r="41" spans="2:2" x14ac:dyDescent="0.2">
      <c r="B41" s="3"/>
    </row>
    <row r="42" spans="2:2" x14ac:dyDescent="0.2">
      <c r="B42" s="3"/>
    </row>
    <row r="43" spans="2:2" x14ac:dyDescent="0.2">
      <c r="B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Rudi Burnama</cp:lastModifiedBy>
  <dcterms:created xsi:type="dcterms:W3CDTF">2025-12-30T07:18:03Z</dcterms:created>
  <dcterms:modified xsi:type="dcterms:W3CDTF">2026-05-29T08:48:05Z</dcterms:modified>
</cp:coreProperties>
</file>