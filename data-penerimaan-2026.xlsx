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filterPrivacy="1"/>
  <xr:revisionPtr revIDLastSave="0" documentId="13_ncr:1_{81108530-9CC7-49FB-A4B8-D221D4538F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  <sheet name="proyeksi" sheetId="3" r:id="rId3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O10" i="1"/>
  <c r="O9" i="1"/>
  <c r="O16" i="1"/>
  <c r="O12" i="1"/>
  <c r="C16" i="3"/>
  <c r="C12" i="3"/>
  <c r="C9" i="3"/>
  <c r="C5" i="3"/>
  <c r="C3" i="3"/>
  <c r="C2" i="3"/>
  <c r="C16" i="1"/>
  <c r="D16" i="1"/>
  <c r="E16" i="1"/>
  <c r="F16" i="1"/>
  <c r="G16" i="1"/>
  <c r="H16" i="1"/>
  <c r="I16" i="1"/>
  <c r="J16" i="1"/>
  <c r="K16" i="1"/>
  <c r="L16" i="1"/>
  <c r="M16" i="1"/>
  <c r="B16" i="1"/>
</calcChain>
</file>

<file path=xl/sharedStrings.xml><?xml version="1.0" encoding="utf-8"?>
<sst xmlns="http://schemas.openxmlformats.org/spreadsheetml/2006/main" count="75" uniqueCount="33">
  <si>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</si>
  <si>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</si>
  <si>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</si>
  <si>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</si>
  <si>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</si>
  <si>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</si>
  <si>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</si>
  <si>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</si>
  <si>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</si>
  <si>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</si>
  <si>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</si>
  <si>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</si>
  <si>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</si>
  <si>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</si>
  <si>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</si>
  <si>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</si>
  <si>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</si>
  <si>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</si>
  <si>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</si>
  <si>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</si>
  <si>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</si>
  <si>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</si>
  <si>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</si>
  <si>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</si>
  <si>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</si>
  <si>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</si>
  <si>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</si>
  <si>
    <t>wisteks</t>
  </si>
  <si>
    <t>serpro</t>
  </si>
  <si>
    <t>LVV GRK</t>
  </si>
  <si>
    <t xml:space="preserve">Target </t>
  </si>
  <si>
    <t>Total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</si>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</sst>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3" fontId="0" fillId="0" borderId="0" xfId="0" applyNumberFormat="1"/>
    <xf numFmtId="164" fontId="0" fillId="0" borderId="0" xfId="0" applyNumberFormat="1"/>
    <xf numFmtId="10" fontId="2" fillId="0" borderId="0" xfId="1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365760</xdr:colOff>
      <xdr:row>3</xdr:row>
      <xdr:rowOff>63879</xdr:rowOff>
    </xdr:from>
    <xdr:to>
      <xdr:col>30</xdr:col>
      <xdr:colOff>346934</xdr:colOff>
      <xdr:row>28</xdr:row>
      <xdr:rowOff>131522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8C9BF9-DF79-270E-375D-096C35909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276820" y="612519"/>
          <a:ext cx="6686774" cy="46396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358140</xdr:colOff>
      <xdr:row>0</xdr:row>
      <xdr:rowOff>152400</xdr:rowOff>
    </xdr:from>
    <xdr:to>
      <xdr:col>13</xdr:col>
      <xdr:colOff>258384</xdr:colOff>
      <xdr:row>24</xdr:row>
      <xdr:rowOff>127635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09ED18-019C-CAB3-E164-DCF648F5A4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0" y="152400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"/>
  <sheetViews>
    <sheetView tabSelected="1" zoomScaleNormal="100" workbookViewId="0">
      <pane xSplit="1" topLeftCell="I1" activePane="topRight" state="frozen"/>
      <selection pane="topRight" activeCell="O2" sqref="O2:O16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4" width="16" bestFit="1" customWidth="1"/>
    <col min="15" max="15" width="15.77734375" customWidth="1"/>
    <col min="16" max="16" width="11.109375" bestFit="1" customWidth="1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t="s">
        <v>12</v>
      </c>
    </row>
    <row r="2" spans="1:15" x14ac:dyDescent="0.3">
      <c r="A2" s="2" t="s">
        <v>13</v>
      </c>
      <c r="B2" s="2">
        <v>205689038</v>
      </c>
      <c r="C2" s="2">
        <v>211111281</v>
      </c>
      <c r="D2" s="2">
        <v>206045243</v>
      </c>
      <c r="E2" s="2">
        <v>196229796</v>
      </c>
      <c r="F2" s="2">
        <v>194132140</v>
      </c>
      <c r="G2" s="2">
        <v>192271954</v>
      </c>
      <c r="H2" s="2">
        <v>198089981</v>
      </c>
      <c r="I2" s="2">
        <v>202126980</v>
      </c>
      <c r="J2" s="2">
        <v>198881550</v>
      </c>
      <c r="K2" s="2">
        <v>200306373</v>
      </c>
      <c r="L2" s="2">
        <v>206441028</v>
      </c>
      <c r="M2" s="1">
        <v>205741413</v>
      </c>
      <c r="N2" s="2">
        <f>SUM(B2:M2)</f>
        <v>2417066777</v>
      </c>
      <c r="O2" s="2">
        <v>2361700000</v>
      </c>
    </row>
    <row r="3" spans="1:15" x14ac:dyDescent="0.3">
      <c r="A3" s="2" t="s">
        <v>14</v>
      </c>
      <c r="B3" s="2">
        <v>123240564</v>
      </c>
      <c r="C3" s="2">
        <v>126489353</v>
      </c>
      <c r="D3" s="2">
        <v>123453988</v>
      </c>
      <c r="E3" s="2">
        <v>117572968</v>
      </c>
      <c r="F3" s="2">
        <v>116199494</v>
      </c>
      <c r="G3" s="2">
        <v>115064188</v>
      </c>
      <c r="H3" s="2">
        <v>118861161</v>
      </c>
      <c r="I3" s="2">
        <v>121220712</v>
      </c>
      <c r="J3" s="2">
        <v>119267674</v>
      </c>
      <c r="K3" s="2">
        <v>120182822</v>
      </c>
      <c r="L3" s="2">
        <v>123864617</v>
      </c>
      <c r="M3" s="2">
        <v>122604911</v>
      </c>
      <c r="N3" s="2">
        <f t="shared" ref="N3:N16" si="0">SUM(B3:M3)</f>
        <v>1448022452</v>
      </c>
      <c r="O3" s="2">
        <v>1565050000</v>
      </c>
    </row>
    <row r="4" spans="1:15" x14ac:dyDescent="0.3">
      <c r="A4" s="2" t="s">
        <v>15</v>
      </c>
      <c r="B4" s="2">
        <v>63988282</v>
      </c>
      <c r="C4" s="2">
        <v>65646949</v>
      </c>
      <c r="D4" s="2">
        <v>64117659</v>
      </c>
      <c r="E4" s="2">
        <v>61041069</v>
      </c>
      <c r="F4" s="2">
        <v>60396958</v>
      </c>
      <c r="G4" s="2">
        <v>59881487</v>
      </c>
      <c r="H4" s="2">
        <v>61815741</v>
      </c>
      <c r="I4" s="2">
        <v>63055556</v>
      </c>
      <c r="J4" s="2">
        <v>62070613</v>
      </c>
      <c r="K4" s="2">
        <v>62567797</v>
      </c>
      <c r="L4" s="2">
        <v>64432871</v>
      </c>
      <c r="M4" s="2">
        <v>63778829</v>
      </c>
      <c r="N4" s="2">
        <f t="shared" si="0"/>
        <v>752793811</v>
      </c>
      <c r="O4" s="2">
        <v>791000000</v>
      </c>
    </row>
    <row r="5" spans="1:15" x14ac:dyDescent="0.3">
      <c r="A5" s="2" t="s">
        <v>16</v>
      </c>
      <c r="B5" s="2">
        <v>17103785</v>
      </c>
      <c r="C5" s="2">
        <v>17528558</v>
      </c>
      <c r="D5" s="2">
        <v>17142794</v>
      </c>
      <c r="E5" s="2">
        <v>16310950</v>
      </c>
      <c r="F5" s="2">
        <v>16121932</v>
      </c>
      <c r="G5" s="2">
        <v>15970049</v>
      </c>
      <c r="H5" s="2">
        <v>16465832</v>
      </c>
      <c r="I5" s="2">
        <v>16784624</v>
      </c>
      <c r="J5" s="2">
        <v>16790784</v>
      </c>
      <c r="K5" s="2">
        <v>16771108</v>
      </c>
      <c r="L5" s="2">
        <v>17055197</v>
      </c>
      <c r="M5" s="2">
        <v>16848394</v>
      </c>
      <c r="N5" s="2">
        <f t="shared" si="0"/>
        <v>200894007</v>
      </c>
      <c r="O5" s="2">
        <v>124300000</v>
      </c>
    </row>
    <row r="6" spans="1:15" x14ac:dyDescent="0.3">
      <c r="A6" s="2" t="s">
        <v>17</v>
      </c>
      <c r="B6" s="2">
        <v>197898360</v>
      </c>
      <c r="C6" s="2">
        <v>203029260</v>
      </c>
      <c r="D6" s="2">
        <v>197993578</v>
      </c>
      <c r="E6" s="2">
        <v>188831558</v>
      </c>
      <c r="F6" s="2">
        <v>186927249</v>
      </c>
      <c r="G6" s="2">
        <v>185190836</v>
      </c>
      <c r="H6" s="2">
        <v>190844947</v>
      </c>
      <c r="I6" s="2">
        <v>194636201</v>
      </c>
      <c r="J6" s="2">
        <v>191435145</v>
      </c>
      <c r="K6" s="2">
        <v>193032808</v>
      </c>
      <c r="L6" s="2">
        <v>199052808</v>
      </c>
      <c r="M6" s="2">
        <v>196833308</v>
      </c>
      <c r="N6" s="2">
        <f t="shared" si="0"/>
        <v>2325706058</v>
      </c>
      <c r="O6" s="2">
        <v>1977500000</v>
      </c>
    </row>
    <row r="7" spans="1:15" x14ac:dyDescent="0.3">
      <c r="A7" s="2" t="s">
        <v>18</v>
      </c>
      <c r="B7" s="2">
        <v>4259505</v>
      </c>
      <c r="C7" s="2">
        <v>4362034</v>
      </c>
      <c r="D7" s="2">
        <v>4258405</v>
      </c>
      <c r="E7" s="2">
        <v>4061762</v>
      </c>
      <c r="F7" s="2">
        <v>4017779</v>
      </c>
      <c r="G7" s="2">
        <v>3975899</v>
      </c>
      <c r="H7" s="2">
        <v>4106532</v>
      </c>
      <c r="I7" s="2">
        <v>4192052</v>
      </c>
      <c r="J7" s="2">
        <v>4204147</v>
      </c>
      <c r="K7" s="2">
        <v>4170688</v>
      </c>
      <c r="L7" s="2">
        <v>4270268</v>
      </c>
      <c r="M7" s="2">
        <v>4230300</v>
      </c>
      <c r="N7" s="2">
        <f t="shared" si="0"/>
        <v>50109371</v>
      </c>
      <c r="O7" s="2">
        <v>135600000</v>
      </c>
    </row>
    <row r="8" spans="1:15" x14ac:dyDescent="0.3">
      <c r="A8" s="2" t="s">
        <v>19</v>
      </c>
      <c r="B8" s="2">
        <v>51650010</v>
      </c>
      <c r="C8" s="2">
        <v>53054273</v>
      </c>
      <c r="D8" s="2">
        <v>51951046</v>
      </c>
      <c r="E8" s="2">
        <v>49143821</v>
      </c>
      <c r="F8" s="2">
        <v>48607154</v>
      </c>
      <c r="G8" s="2">
        <v>48002929</v>
      </c>
      <c r="H8" s="2">
        <v>49596426</v>
      </c>
      <c r="I8" s="2">
        <v>50506664</v>
      </c>
      <c r="J8" s="2">
        <v>49212043</v>
      </c>
      <c r="K8" s="2">
        <v>50618356</v>
      </c>
      <c r="L8" s="2">
        <v>50866606</v>
      </c>
      <c r="M8" s="2">
        <v>50208167</v>
      </c>
      <c r="N8" s="2">
        <f t="shared" si="0"/>
        <v>603417495</v>
      </c>
      <c r="O8" s="2">
        <v>327700000</v>
      </c>
    </row>
    <row r="9" spans="1:15" x14ac:dyDescent="0.3">
      <c r="A9" s="2" t="s">
        <v>20</v>
      </c>
      <c r="B9" s="2">
        <v>23984672</v>
      </c>
      <c r="C9" s="2">
        <v>24573080</v>
      </c>
      <c r="D9" s="2">
        <v>24016960</v>
      </c>
      <c r="E9" s="2">
        <v>22708437</v>
      </c>
      <c r="F9" s="2">
        <v>22556750</v>
      </c>
      <c r="G9" s="2">
        <v>22548234</v>
      </c>
      <c r="H9" s="2">
        <v>22546595</v>
      </c>
      <c r="I9" s="2">
        <v>22881258</v>
      </c>
      <c r="J9" s="2">
        <v>22622806</v>
      </c>
      <c r="K9" s="2">
        <v>23226948</v>
      </c>
      <c r="L9" s="2">
        <v>23303711</v>
      </c>
      <c r="M9" s="2">
        <v>22998449</v>
      </c>
      <c r="N9" s="2">
        <f t="shared" si="0"/>
        <v>277967900</v>
      </c>
      <c r="O9" s="2">
        <f>452000000+56500000</f>
        <v>508500000</v>
      </c>
    </row>
    <row r="10" spans="1:15" x14ac:dyDescent="0.3">
      <c r="A10" s="2" t="s">
        <v>21</v>
      </c>
      <c r="B10" s="2">
        <v>91630377</v>
      </c>
      <c r="C10" s="2">
        <v>94173748</v>
      </c>
      <c r="D10" s="2">
        <v>91875762</v>
      </c>
      <c r="E10" s="2">
        <v>87488642</v>
      </c>
      <c r="F10" s="2">
        <v>86565010</v>
      </c>
      <c r="G10" s="2">
        <v>85734568</v>
      </c>
      <c r="H10" s="2">
        <v>88469454</v>
      </c>
      <c r="I10" s="2">
        <v>90310140</v>
      </c>
      <c r="J10" s="2">
        <v>88978375</v>
      </c>
      <c r="K10" s="2">
        <v>89578568</v>
      </c>
      <c r="L10" s="2">
        <v>92366453</v>
      </c>
      <c r="M10" s="2">
        <v>91303403</v>
      </c>
      <c r="N10" s="2">
        <f t="shared" si="0"/>
        <v>1078474500</v>
      </c>
      <c r="O10" s="2">
        <f>1525500000+11300000</f>
        <v>1536800000</v>
      </c>
    </row>
    <row r="11" spans="1:15" x14ac:dyDescent="0.3">
      <c r="A11" s="2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f t="shared" si="0"/>
        <v>0</v>
      </c>
      <c r="O11" s="2">
        <v>22600000</v>
      </c>
    </row>
    <row r="12" spans="1:15" x14ac:dyDescent="0.3">
      <c r="A12" s="2" t="s">
        <v>23</v>
      </c>
      <c r="B12" s="2">
        <v>10952513</v>
      </c>
      <c r="C12" s="2">
        <v>11263993</v>
      </c>
      <c r="D12" s="2">
        <v>10970506</v>
      </c>
      <c r="E12" s="2">
        <v>10373320</v>
      </c>
      <c r="F12" s="2">
        <v>10254539</v>
      </c>
      <c r="G12" s="2">
        <v>10080146</v>
      </c>
      <c r="H12" s="2">
        <v>10523914</v>
      </c>
      <c r="I12" s="2">
        <v>10767420</v>
      </c>
      <c r="J12" s="2">
        <v>10693690</v>
      </c>
      <c r="K12" s="2">
        <v>10769771</v>
      </c>
      <c r="L12" s="2">
        <v>11093923</v>
      </c>
      <c r="M12" s="2">
        <v>10946065</v>
      </c>
      <c r="N12" s="2">
        <f t="shared" si="0"/>
        <v>128689800</v>
      </c>
      <c r="O12" s="2">
        <f>1299500000+135600000</f>
        <v>1435100000</v>
      </c>
    </row>
    <row r="13" spans="1:15" x14ac:dyDescent="0.3">
      <c r="A13" s="2" t="s">
        <v>24</v>
      </c>
      <c r="B13" s="2">
        <v>4513505</v>
      </c>
      <c r="C13" s="2">
        <v>4644262</v>
      </c>
      <c r="D13" s="2">
        <v>4520557</v>
      </c>
      <c r="E13" s="2">
        <v>4280058</v>
      </c>
      <c r="F13" s="2">
        <v>4228312</v>
      </c>
      <c r="G13" s="2">
        <v>4174784</v>
      </c>
      <c r="H13" s="2">
        <v>4392358</v>
      </c>
      <c r="I13" s="2">
        <v>4488305</v>
      </c>
      <c r="J13" s="2">
        <v>4489336</v>
      </c>
      <c r="K13" s="2">
        <v>4481976</v>
      </c>
      <c r="L13" s="2">
        <v>4570477</v>
      </c>
      <c r="M13" s="2">
        <v>4526904</v>
      </c>
      <c r="N13" s="2">
        <f t="shared" si="0"/>
        <v>53310834</v>
      </c>
      <c r="O13" s="2">
        <v>113000000</v>
      </c>
    </row>
    <row r="14" spans="1:15" x14ac:dyDescent="0.3">
      <c r="A14" s="2" t="s">
        <v>25</v>
      </c>
      <c r="B14" s="2">
        <v>26692985</v>
      </c>
      <c r="C14" s="2">
        <v>27451161</v>
      </c>
      <c r="D14" s="2">
        <v>26876739</v>
      </c>
      <c r="E14" s="2">
        <v>25744931</v>
      </c>
      <c r="F14" s="2">
        <v>25440544</v>
      </c>
      <c r="G14" s="2">
        <v>25120018</v>
      </c>
      <c r="H14" s="2">
        <v>25958692</v>
      </c>
      <c r="I14" s="2">
        <v>26458750</v>
      </c>
      <c r="J14" s="2">
        <v>26120075</v>
      </c>
      <c r="K14" s="2">
        <v>26304908</v>
      </c>
      <c r="L14" s="2">
        <v>27160770</v>
      </c>
      <c r="M14" s="2">
        <v>26753423</v>
      </c>
      <c r="N14" s="2">
        <f t="shared" si="0"/>
        <v>316082996</v>
      </c>
      <c r="O14" s="2">
        <v>316400000</v>
      </c>
    </row>
    <row r="15" spans="1:15" x14ac:dyDescent="0.3">
      <c r="A15" s="2" t="s">
        <v>26</v>
      </c>
      <c r="B15" s="2">
        <v>2554562</v>
      </c>
      <c r="C15" s="2">
        <v>2621903</v>
      </c>
      <c r="D15" s="2">
        <v>2558985</v>
      </c>
      <c r="E15" s="2">
        <v>2437082</v>
      </c>
      <c r="F15" s="2">
        <v>2411030</v>
      </c>
      <c r="G15" s="2">
        <v>2387928</v>
      </c>
      <c r="H15" s="2">
        <v>2460185</v>
      </c>
      <c r="I15" s="2">
        <v>2510322</v>
      </c>
      <c r="J15" s="2">
        <v>2470016</v>
      </c>
      <c r="K15" s="2">
        <v>2487711</v>
      </c>
      <c r="L15" s="2">
        <v>2563901</v>
      </c>
      <c r="M15" s="2">
        <v>2536374</v>
      </c>
      <c r="N15" s="2">
        <f t="shared" si="0"/>
        <v>29999999</v>
      </c>
      <c r="O15" s="2">
        <v>84750000</v>
      </c>
    </row>
    <row r="16" spans="1:15" x14ac:dyDescent="0.3">
      <c r="B16" s="2">
        <f>SUM(B2:B15)</f>
        <v>824158158</v>
      </c>
      <c r="C16" s="2">
        <f t="shared" ref="C16:L16" si="1">SUM(C2:C15)</f>
        <v>845949855</v>
      </c>
      <c r="D16" s="2">
        <f t="shared" si="1"/>
        <v>825782222</v>
      </c>
      <c r="E16" s="2">
        <f t="shared" si="1"/>
        <v>786224394</v>
      </c>
      <c r="F16" s="2">
        <f t="shared" si="1"/>
        <v>777858891</v>
      </c>
      <c r="G16" s="2">
        <f t="shared" si="1"/>
        <v>770403020</v>
      </c>
      <c r="H16" s="2">
        <f t="shared" si="1"/>
        <v>794131818</v>
      </c>
      <c r="I16" s="2">
        <f t="shared" si="1"/>
        <v>809938984</v>
      </c>
      <c r="J16" s="2">
        <f t="shared" si="1"/>
        <v>797236254</v>
      </c>
      <c r="K16" s="2">
        <f t="shared" si="1"/>
        <v>804499834</v>
      </c>
      <c r="L16" s="2">
        <f t="shared" si="1"/>
        <v>827042630</v>
      </c>
      <c r="M16" s="2">
        <f>SUM(M2:M15)</f>
        <v>819309940</v>
      </c>
      <c r="N16" s="2">
        <f t="shared" si="0"/>
        <v>9682536000</v>
      </c>
      <c r="O16" s="2">
        <f>SUM(O2:O15)</f>
        <v>11300000000</v>
      </c>
    </row>
    <row r="18" spans="2:13" x14ac:dyDescent="0.3">
      <c r="B18" s="2"/>
    </row>
    <row r="19" spans="2:13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2:13" x14ac:dyDescent="0.3">
      <c r="B20" s="1"/>
      <c r="C20" s="1"/>
      <c r="D20" s="1"/>
      <c r="E20" s="1"/>
      <c r="F20" s="1"/>
      <c r="G20" s="1"/>
      <c r="H20" s="1"/>
      <c r="I20" s="1"/>
      <c r="J20" s="1"/>
      <c r="K20" s="2"/>
      <c r="L20" s="1"/>
      <c r="M20" s="1"/>
    </row>
    <row r="21" spans="2:13" x14ac:dyDescent="0.3">
      <c r="B21" s="1"/>
      <c r="D21" s="1"/>
      <c r="E21" s="1"/>
      <c r="F21" s="1"/>
      <c r="G21" s="1"/>
      <c r="H21" s="1"/>
      <c r="I21" s="1"/>
      <c r="J21" s="1"/>
      <c r="K21" s="2"/>
      <c r="L21" s="1"/>
      <c r="M21" s="1"/>
    </row>
    <row r="22" spans="2:13" x14ac:dyDescent="0.3">
      <c r="B22" s="1"/>
      <c r="C22" s="1"/>
      <c r="D22" s="1"/>
      <c r="E22" s="1"/>
      <c r="F22" s="1"/>
      <c r="G22" s="1"/>
      <c r="H22" s="1"/>
      <c r="I22" s="1"/>
      <c r="J22" s="1"/>
      <c r="K22" s="2"/>
      <c r="L22" s="1"/>
      <c r="M22" s="1"/>
    </row>
    <row r="23" spans="2:13" x14ac:dyDescent="0.3">
      <c r="B23" s="1"/>
      <c r="C23" s="1"/>
      <c r="D23" s="1"/>
      <c r="E23" s="1"/>
      <c r="F23" s="1"/>
      <c r="G23" s="1"/>
      <c r="H23" s="1"/>
      <c r="I23" s="1"/>
      <c r="J23" s="1"/>
      <c r="K23" s="2"/>
      <c r="L23" s="1"/>
      <c r="M23" s="1"/>
    </row>
    <row r="24" spans="2:13" x14ac:dyDescent="0.3">
      <c r="B24" s="1"/>
      <c r="C24" s="1"/>
      <c r="D24" s="1"/>
      <c r="E24" s="1"/>
      <c r="F24" s="1"/>
      <c r="G24" s="1"/>
      <c r="H24" s="1"/>
      <c r="I24" s="1"/>
      <c r="J24" s="1"/>
      <c r="K24" s="2"/>
      <c r="L24" s="1"/>
      <c r="M24" s="1"/>
    </row>
    <row r="25" spans="2:13" x14ac:dyDescent="0.3"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"/>
    </row>
    <row r="26" spans="2:13" x14ac:dyDescent="0.3"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"/>
    </row>
    <row r="27" spans="2:13" x14ac:dyDescent="0.3">
      <c r="B27" s="1"/>
      <c r="C27" s="1"/>
      <c r="D27" s="1"/>
      <c r="E27" s="1"/>
      <c r="F27" s="1"/>
      <c r="G27" s="1"/>
      <c r="H27" s="1"/>
      <c r="I27" s="1"/>
      <c r="J27" s="1"/>
      <c r="K27" s="2"/>
      <c r="L27" s="1"/>
      <c r="M27" s="1"/>
    </row>
    <row r="28" spans="2:13" x14ac:dyDescent="0.3">
      <c r="K28" s="2"/>
      <c r="L28" s="2"/>
      <c r="M28" s="1"/>
    </row>
    <row r="29" spans="2:13" x14ac:dyDescent="0.3">
      <c r="B29" s="1"/>
      <c r="C29" s="1"/>
      <c r="D29" s="1"/>
      <c r="E29" s="1"/>
      <c r="F29" s="1"/>
      <c r="G29" s="1"/>
      <c r="H29" s="1"/>
      <c r="I29" s="1"/>
      <c r="J29" s="1"/>
      <c r="K29" s="2"/>
      <c r="L29" s="2"/>
      <c r="M29" s="1"/>
    </row>
    <row r="30" spans="2:13" x14ac:dyDescent="0.3">
      <c r="B30" s="1"/>
      <c r="C30" s="1"/>
      <c r="D30" s="1"/>
      <c r="E30" s="1"/>
      <c r="F30" s="1"/>
      <c r="G30" s="1"/>
      <c r="H30" s="1"/>
      <c r="I30" s="1"/>
      <c r="J30" s="1"/>
      <c r="K30" s="2"/>
      <c r="L30" s="1"/>
      <c r="M30" s="1"/>
    </row>
    <row r="31" spans="2:13" x14ac:dyDescent="0.3">
      <c r="B31" s="1"/>
      <c r="C31" s="1"/>
      <c r="D31" s="1"/>
      <c r="E31" s="1"/>
      <c r="F31" s="1"/>
      <c r="G31" s="1"/>
      <c r="H31" s="1"/>
      <c r="I31" s="1"/>
      <c r="J31" s="1"/>
      <c r="K31" s="2"/>
      <c r="L31" s="1"/>
      <c r="M31" s="1"/>
    </row>
    <row r="32" spans="2:13" x14ac:dyDescent="0.3">
      <c r="B32" s="1"/>
      <c r="C32" s="1"/>
      <c r="D32" s="1"/>
      <c r="E32" s="1"/>
      <c r="F32" s="1"/>
      <c r="G32" s="1"/>
      <c r="H32" s="1"/>
      <c r="I32" s="1"/>
      <c r="J32" s="1"/>
      <c r="K32" s="2"/>
      <c r="L32" s="1"/>
      <c r="M32" s="1"/>
    </row>
    <row r="33" spans="11:13" x14ac:dyDescent="0.3">
      <c r="K33" s="2"/>
      <c r="M33" s="1"/>
    </row>
    <row r="34" spans="11:13" x14ac:dyDescent="0.3">
      <c r="K34" s="2"/>
      <c r="M34" s="1"/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zoomScale="74" zoomScaleNormal="100" workbookViewId="0">
      <selection sqref="A1:M15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8.66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3">
      <c r="A3" t="s">
        <v>14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3">
      <c r="A4" t="s">
        <v>15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3">
      <c r="A5" t="s">
        <v>16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3">
      <c r="A6" t="s">
        <v>17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3">
      <c r="A7" t="s">
        <v>18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3">
      <c r="A8" t="s">
        <v>19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3">
      <c r="A9" t="s">
        <v>20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3">
      <c r="A10" t="s">
        <v>21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3">
      <c r="A11" t="s">
        <v>22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3">
      <c r="A12" t="s">
        <v>23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3">
      <c r="A13" t="s">
        <v>24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3">
      <c r="A14" t="s">
        <v>25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3">
      <c r="A15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8DCD-B18E-42E1-BECA-9829EB7D1099}">
  <dimension ref="A1:S23"/>
  <sheetViews>
    <sheetView workbookViewId="0">
      <selection activeCell="C3" sqref="C3"/>
    </sheetView>
  </sheetViews>
  <sheetFormatPr defaultRowHeight="14.4" x14ac:dyDescent="0.3"/>
  <cols>
    <col min="3" max="3" width="15.88671875" bestFit="1" customWidth="1"/>
    <col min="16" max="16" width="17.44140625" style="2" bestFit="1" customWidth="1"/>
    <col min="19" max="19" width="14.88671875" bestFit="1" customWidth="1"/>
  </cols>
  <sheetData>
    <row r="1" spans="1:19" x14ac:dyDescent="0.3">
      <c r="A1" t="s">
        <v>32</v>
      </c>
      <c r="B1" t="s">
        <v>0</v>
      </c>
      <c r="C1" t="s">
        <v>30</v>
      </c>
    </row>
    <row r="2" spans="1:19" x14ac:dyDescent="0.3">
      <c r="A2">
        <v>2026</v>
      </c>
      <c r="B2" t="s">
        <v>13</v>
      </c>
      <c r="C2" s="2">
        <f>R2*S2</f>
        <v>2415568248.4519615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R2" s="3">
        <v>0.57368551200655338</v>
      </c>
      <c r="S2" s="2">
        <v>4210614000</v>
      </c>
    </row>
    <row r="3" spans="1:19" x14ac:dyDescent="0.3">
      <c r="A3">
        <v>2026</v>
      </c>
      <c r="B3" t="s">
        <v>14</v>
      </c>
      <c r="C3" s="2">
        <f>R3*S2</f>
        <v>1666989634.8698099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R3" s="3">
        <v>0.39590179362672756</v>
      </c>
    </row>
    <row r="4" spans="1:19" x14ac:dyDescent="0.3">
      <c r="A4">
        <v>2026</v>
      </c>
      <c r="B4" t="s">
        <v>15</v>
      </c>
      <c r="C4" s="2">
        <v>803215000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R4" s="3"/>
    </row>
    <row r="5" spans="1:19" x14ac:dyDescent="0.3">
      <c r="A5">
        <v>2026</v>
      </c>
      <c r="B5" t="s">
        <v>16</v>
      </c>
      <c r="C5" s="2">
        <f>R5*S2</f>
        <v>128056116.67822824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R5" s="3">
        <v>3.041269436671902E-2</v>
      </c>
    </row>
    <row r="6" spans="1:19" x14ac:dyDescent="0.3">
      <c r="A6">
        <v>2026</v>
      </c>
      <c r="B6" t="s">
        <v>17</v>
      </c>
      <c r="C6" s="2">
        <v>2019050000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9" x14ac:dyDescent="0.3">
      <c r="A7">
        <v>2026</v>
      </c>
      <c r="B7" t="s">
        <v>18</v>
      </c>
      <c r="C7" s="2">
        <v>135000000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9" x14ac:dyDescent="0.3">
      <c r="A8">
        <v>2026</v>
      </c>
      <c r="B8" t="s">
        <v>19</v>
      </c>
      <c r="C8" s="2">
        <v>340000000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9" x14ac:dyDescent="0.3">
      <c r="A9">
        <v>2026</v>
      </c>
      <c r="B9" t="s">
        <v>20</v>
      </c>
      <c r="C9" s="2">
        <f>464400000+69700000+15000000</f>
        <v>549100000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9" x14ac:dyDescent="0.3">
      <c r="A10">
        <v>2026</v>
      </c>
      <c r="B10" t="s">
        <v>21</v>
      </c>
      <c r="C10" s="2">
        <v>1657000000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9" x14ac:dyDescent="0.3">
      <c r="A11">
        <v>2026</v>
      </c>
      <c r="B11" t="s">
        <v>22</v>
      </c>
      <c r="C11" s="2">
        <v>20000000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9" x14ac:dyDescent="0.3">
      <c r="A12">
        <v>2026</v>
      </c>
      <c r="B12" t="s">
        <v>23</v>
      </c>
      <c r="C12" s="2">
        <f>1330000000+15000000</f>
        <v>1345000000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9" x14ac:dyDescent="0.3">
      <c r="A13">
        <v>2026</v>
      </c>
      <c r="B13" t="s">
        <v>24</v>
      </c>
      <c r="C13" s="2">
        <v>53140000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9" x14ac:dyDescent="0.3">
      <c r="A14">
        <v>2026</v>
      </c>
      <c r="B14" t="s">
        <v>25</v>
      </c>
      <c r="C14" s="2">
        <v>325260000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9" x14ac:dyDescent="0.3">
      <c r="A15">
        <v>2026</v>
      </c>
      <c r="B15" t="s">
        <v>26</v>
      </c>
      <c r="C15" s="2">
        <v>86700000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9" x14ac:dyDescent="0.3">
      <c r="B16" t="s">
        <v>31</v>
      </c>
      <c r="C16" s="2">
        <f>SUM(C2:C15)</f>
        <v>11544079000</v>
      </c>
    </row>
    <row r="21" spans="2:16" x14ac:dyDescent="0.3">
      <c r="B21" t="s">
        <v>27</v>
      </c>
      <c r="P21" s="2">
        <v>69700000</v>
      </c>
    </row>
    <row r="22" spans="2:16" x14ac:dyDescent="0.3">
      <c r="B22" t="s">
        <v>28</v>
      </c>
      <c r="P22" s="2">
        <v>15000000</v>
      </c>
    </row>
    <row r="23" spans="2:16" x14ac:dyDescent="0.3">
      <c r="B23" t="s">
        <v>29</v>
      </c>
      <c r="P23" s="2">
        <v>15000000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</vt:lpstr>
      <vt:lpstr>capaian</vt:lpstr>
      <vt:lpstr>proyeksi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2026-01-27T08:32:18Z</dcterms:modified>
  <cp:category/>
</cp:coreProperties>
</file>