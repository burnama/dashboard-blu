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UDI\2026\DATA LAYANAN\backup\"/>
    </mc:Choice>
  </mc:AlternateContent>
  <xr:revisionPtr revIDLastSave="0" documentId="13_ncr:1_{DFE04509-0334-4FC7-A246-BD7284B938EE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2" l="1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O16" i="1"/>
  <c r="N3" i="1"/>
  <c r="E19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l="1"/>
  <c r="N16" i="1"/>
  <c r="P16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<sst xmlns="http://schemas.openxmlformats.org/spreadsheetml/2006/main" count="57" uniqueCount="29">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</sst>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zoomScale="85" zoomScaleNormal="85" workbookViewId="0">
      <selection activeCell="M15" sqref="M15"/>
    </sheetView>
  </sheetViews>
  <sheetFormatPr defaultRowHeight="14.4" x14ac:dyDescent="0.3"/>
  <cols>
    <col min="1" max="1" width="11.109375" style="1" customWidth="1"/>
    <col min="2" max="2" width="17.21875" style="1" customWidth="1"/>
    <col min="3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7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3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3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3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3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3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3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3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3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3">
      <c r="A10" s="6" t="s">
        <v>22</v>
      </c>
      <c r="B10" s="1">
        <v>50000000</v>
      </c>
      <c r="C10" s="1">
        <v>77145355</v>
      </c>
      <c r="D10" s="1">
        <v>37946171</v>
      </c>
      <c r="E10" s="1"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3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3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3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3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3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3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5" x14ac:dyDescent="0.3">
      <c r="B17" s="3"/>
    </row>
    <row r="19" spans="2:5" x14ac:dyDescent="0.3">
      <c r="C19" s="1">
        <f>C14+B14</f>
        <v>10629156</v>
      </c>
      <c r="E19" s="1">
        <f>235805873-19612581</f>
        <v>216193292</v>
      </c>
    </row>
    <row r="30" spans="2:5" x14ac:dyDescent="0.3">
      <c r="B30" s="3"/>
    </row>
    <row r="31" spans="2:5" x14ac:dyDescent="0.3">
      <c r="B31" s="3"/>
    </row>
    <row r="32" spans="2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tabSelected="1" zoomScale="85" zoomScaleNormal="85" workbookViewId="0">
      <selection activeCell="C15" sqref="C15"/>
    </sheetView>
  </sheetViews>
  <sheetFormatPr defaultRowHeight="14.4" x14ac:dyDescent="0.3"/>
  <cols>
    <col min="1" max="1" width="11.109375" style="1" customWidth="1"/>
    <col min="2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6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3">
      <c r="A2" s="6" t="s">
        <v>23</v>
      </c>
      <c r="B2" s="1">
        <v>110095000</v>
      </c>
      <c r="C2" s="1">
        <v>130765000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3">
      <c r="A3" s="6" t="s">
        <v>19</v>
      </c>
      <c r="B3" s="1">
        <v>121670000</v>
      </c>
      <c r="C3" s="1">
        <v>147510000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3">
      <c r="A4" s="6" t="s">
        <v>17</v>
      </c>
      <c r="B4" s="1">
        <v>19285000</v>
      </c>
      <c r="C4" s="1">
        <v>84950000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3">
      <c r="A5" s="6" t="s">
        <v>21</v>
      </c>
      <c r="B5" s="1">
        <v>20800000</v>
      </c>
      <c r="C5" s="1">
        <v>10400000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3">
      <c r="A6" s="6" t="s">
        <v>24</v>
      </c>
      <c r="B6" s="1">
        <v>76242100</v>
      </c>
      <c r="C6" s="1">
        <v>154300000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3">
      <c r="A7" s="6" t="s">
        <v>16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3">
      <c r="A8" s="6" t="s">
        <v>18</v>
      </c>
      <c r="B8" s="1">
        <v>0</v>
      </c>
      <c r="C8" s="1">
        <v>58800000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3">
      <c r="A9" s="6" t="s">
        <v>15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3">
      <c r="A10" s="6" t="s">
        <v>22</v>
      </c>
      <c r="B10" s="1">
        <v>50000000</v>
      </c>
      <c r="C10" s="1">
        <v>4000000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3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3">
      <c r="A12" s="6" t="s">
        <v>26</v>
      </c>
      <c r="B12" s="1">
        <v>42506500</v>
      </c>
      <c r="C12" s="1">
        <v>32412500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3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3">
      <c r="A14" s="6" t="s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3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3">
      <c r="A16" s="4" t="s">
        <v>28</v>
      </c>
      <c r="B16" s="4">
        <f t="shared" ref="B16:C16" si="0">SUM(B2:B15)</f>
        <v>464898600</v>
      </c>
      <c r="C16" s="4">
        <f t="shared" si="0"/>
        <v>623137500</v>
      </c>
      <c r="O16" s="7"/>
      <c r="P16" s="1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2026-02-27T06:20:14Z</dcterms:modified>
</cp:coreProperties>
</file>