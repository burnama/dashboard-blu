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/>
  <xr:revisionPtr revIDLastSave="0" documentId="13_ncr:1_{39DEF9F7-7F62-45C2-90F7-8AA9F07696D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rget" sheetId="1" r:id="rId1"/>
    <sheet name="capaian" sheetId="2" r:id="rId2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6" i="2" l="1"/>
  <c r="C16" i="2"/>
  <c r="D16" i="2"/>
  <c r="E16" i="2"/>
  <c r="F16" i="2"/>
  <c r="G16" i="2"/>
  <c r="H16" i="2"/>
  <c r="I16" i="2"/>
  <c r="J16" i="2"/>
  <c r="K16" i="2"/>
  <c r="L16" i="2"/>
  <c r="M16" i="2"/>
</calcChain>
</file>

<file path=xl/sharedStrings.xml><?xml version="1.0" encoding="utf-8"?>
<sst xmlns="http://schemas.openxmlformats.org/spreadsheetml/2006/main" count="54" uniqueCount="27">
  <si>
    <t>layanan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</si>
  <si>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</si>
  <si>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</si>
  <si>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</si>
  <si>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</si>
  <si>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</si>
  <si>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</si>
  <si>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</si>
  <si>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</si>
  <si>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</si>
  <si>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</si>
  <si>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</si>
  <si>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</si>
  <si>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pengujian</t>
  </si>
  <si>
    <t>lingkungan</t>
  </si>
  <si>
    <t>kalibrasi</t>
  </si>
  <si>
    <t>masker</t>
  </si>
  <si>
    <t>sertifikasi</t>
  </si>
  <si>
    <t>inspeksi</t>
  </si>
  <si>
    <t>konsultansi</t>
  </si>
  <si>
    <t>bimteks</t>
  </si>
  <si>
    <t>opti</t>
  </si>
  <si>
    <t>uji_profi</t>
  </si>
  <si>
    <t>verifikasi</t>
  </si>
  <si>
    <t>lph</t>
  </si>
  <si>
    <t>aset</t>
  </si>
  <si>
    <t>bagi_hasil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</si>
</sst>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Rp&quot;#,##0.00"/>
    <numFmt numFmtId="165" formatCode="&quot;Rp&quot;#,##0"/>
  </numFmts>
  <fonts count="2" x14ac:knownFonts="1">
    <font>
      <sz val="11"/>
      <color theme="1"/>
      <name val="Calibri"/>
      <family val="2"/>
      <scheme val="minor"/>
    </font>
    <font>
      <sz val="8"/>
      <color rgb="FF21252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rgb="FFDEE2E6"/>
      </top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165" fontId="1" fillId="2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6"/>
  <sheetViews>
    <sheetView tabSelected="1" zoomScale="75" workbookViewId="0">
      <selection activeCell="M15" sqref="B2:M15"/>
    </sheetView>
  </sheetViews>
  <sheetFormatPr defaultRowHeight="14.4" x14ac:dyDescent="0.3"/>
  <cols>
    <col min="1" max="1" width="13.21875" customWidth="1"/>
    <col min="2" max="2" width="19.33203125" customWidth="1"/>
    <col min="3" max="3" width="18.77734375" customWidth="1"/>
    <col min="4" max="4" width="18.33203125" bestFit="1" customWidth="1"/>
    <col min="5" max="5" width="18.109375" customWidth="1"/>
    <col min="6" max="6" width="18.44140625" customWidth="1"/>
    <col min="7" max="8" width="18" customWidth="1"/>
    <col min="9" max="9" width="17.88671875" customWidth="1"/>
    <col min="10" max="10" width="18.5546875" customWidth="1"/>
    <col min="11" max="11" width="18.21875" customWidth="1"/>
    <col min="12" max="12" width="18.44140625" customWidth="1"/>
    <col min="13" max="13" width="18.21875" customWidth="1"/>
    <col min="14" max="16" width="16.554687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 t="s">
        <v>13</v>
      </c>
      <c r="B2" s="2">
        <v>235440000</v>
      </c>
      <c r="C2" s="2">
        <v>248000000</v>
      </c>
      <c r="D2" s="2">
        <v>216500000</v>
      </c>
      <c r="E2" s="2">
        <v>131400000</v>
      </c>
      <c r="F2" s="2">
        <v>136600000</v>
      </c>
      <c r="G2" s="2">
        <v>186700000</v>
      </c>
      <c r="H2" s="2">
        <v>224200000</v>
      </c>
      <c r="I2" s="2">
        <v>242700000</v>
      </c>
      <c r="J2" s="2">
        <v>225500000</v>
      </c>
      <c r="K2" s="2">
        <v>228300000</v>
      </c>
      <c r="L2" s="2">
        <v>241900000</v>
      </c>
      <c r="M2" s="2">
        <v>272445000</v>
      </c>
    </row>
    <row r="3" spans="1:13" x14ac:dyDescent="0.3">
      <c r="A3" t="s">
        <v>14</v>
      </c>
      <c r="B3" s="2">
        <v>45950000</v>
      </c>
      <c r="C3" s="2">
        <v>48400000</v>
      </c>
      <c r="D3" s="2">
        <v>42250000</v>
      </c>
      <c r="E3" s="2">
        <v>25650000</v>
      </c>
      <c r="F3" s="2">
        <v>26650000</v>
      </c>
      <c r="G3" s="2">
        <v>36450000</v>
      </c>
      <c r="H3" s="2">
        <v>43750000</v>
      </c>
      <c r="I3" s="2">
        <v>47350000</v>
      </c>
      <c r="J3" s="2">
        <v>44000000</v>
      </c>
      <c r="K3" s="2">
        <v>44550000</v>
      </c>
      <c r="L3" s="2">
        <v>47200000</v>
      </c>
      <c r="M3" s="2">
        <v>47850000</v>
      </c>
    </row>
    <row r="4" spans="1:13" x14ac:dyDescent="0.3">
      <c r="A4" t="s">
        <v>15</v>
      </c>
      <c r="B4" s="2">
        <v>27570000</v>
      </c>
      <c r="C4" s="2">
        <v>29040000</v>
      </c>
      <c r="D4" s="2">
        <v>25350000</v>
      </c>
      <c r="E4" s="2">
        <v>15390000</v>
      </c>
      <c r="F4" s="2">
        <v>15990000</v>
      </c>
      <c r="G4" s="2">
        <v>21870000</v>
      </c>
      <c r="H4" s="2">
        <v>26250000</v>
      </c>
      <c r="I4" s="2">
        <v>28410000</v>
      </c>
      <c r="J4" s="2">
        <v>26400000</v>
      </c>
      <c r="K4" s="2">
        <v>26730000</v>
      </c>
      <c r="L4" s="2">
        <v>28320000</v>
      </c>
      <c r="M4" s="2">
        <v>28710000</v>
      </c>
    </row>
    <row r="5" spans="1:13" x14ac:dyDescent="0.3">
      <c r="A5" t="s">
        <v>16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</row>
    <row r="6" spans="1:13" x14ac:dyDescent="0.3">
      <c r="A6" t="s">
        <v>17</v>
      </c>
      <c r="B6" s="2">
        <v>73520000</v>
      </c>
      <c r="C6" s="2">
        <v>77440000</v>
      </c>
      <c r="D6" s="2">
        <v>67600000</v>
      </c>
      <c r="E6" s="2">
        <v>41040000</v>
      </c>
      <c r="F6" s="2">
        <v>42640000</v>
      </c>
      <c r="G6" s="2">
        <v>58320000</v>
      </c>
      <c r="H6" s="2">
        <v>70000000</v>
      </c>
      <c r="I6" s="2">
        <v>75760000</v>
      </c>
      <c r="J6" s="2">
        <v>70400000</v>
      </c>
      <c r="K6" s="2">
        <v>71280000</v>
      </c>
      <c r="L6" s="2">
        <v>75520000</v>
      </c>
      <c r="M6" s="2">
        <v>76560000</v>
      </c>
    </row>
    <row r="7" spans="1:13" x14ac:dyDescent="0.3">
      <c r="A7" t="s">
        <v>18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</row>
    <row r="8" spans="1:13" x14ac:dyDescent="0.3">
      <c r="A8" t="s">
        <v>19</v>
      </c>
      <c r="B8" s="2">
        <v>33080000</v>
      </c>
      <c r="C8" s="2">
        <v>34850000</v>
      </c>
      <c r="D8" s="2">
        <v>30420000</v>
      </c>
      <c r="E8" s="2">
        <v>18470000</v>
      </c>
      <c r="F8" s="2">
        <v>19190000</v>
      </c>
      <c r="G8" s="2">
        <v>26240000</v>
      </c>
      <c r="H8" s="2">
        <v>31500000</v>
      </c>
      <c r="I8" s="2">
        <v>34090000</v>
      </c>
      <c r="J8" s="2">
        <v>31680000</v>
      </c>
      <c r="K8" s="2">
        <v>32050000</v>
      </c>
      <c r="L8" s="2">
        <v>33980000</v>
      </c>
      <c r="M8" s="2">
        <v>34560000</v>
      </c>
    </row>
    <row r="9" spans="1:13" x14ac:dyDescent="0.3">
      <c r="A9" t="s">
        <v>20</v>
      </c>
      <c r="B9" s="2">
        <v>36760000</v>
      </c>
      <c r="C9" s="2">
        <v>38720000</v>
      </c>
      <c r="D9" s="2">
        <v>33800000</v>
      </c>
      <c r="E9" s="2">
        <v>20520000</v>
      </c>
      <c r="F9" s="2">
        <v>21320000</v>
      </c>
      <c r="G9" s="2">
        <v>29160000</v>
      </c>
      <c r="H9" s="2">
        <v>35000000</v>
      </c>
      <c r="I9" s="2">
        <v>37880000</v>
      </c>
      <c r="J9" s="2">
        <v>35200000</v>
      </c>
      <c r="K9" s="2">
        <v>35640000</v>
      </c>
      <c r="L9" s="2">
        <v>37760000</v>
      </c>
      <c r="M9" s="2">
        <v>38280000</v>
      </c>
    </row>
    <row r="10" spans="1:13" x14ac:dyDescent="0.3">
      <c r="A10" t="s">
        <v>21</v>
      </c>
      <c r="B10" s="2">
        <v>4595000</v>
      </c>
      <c r="C10" s="2">
        <v>4840000</v>
      </c>
      <c r="D10" s="2">
        <v>4225000</v>
      </c>
      <c r="E10" s="2">
        <v>2565000</v>
      </c>
      <c r="F10" s="2">
        <v>2665000</v>
      </c>
      <c r="G10" s="2">
        <v>3645000</v>
      </c>
      <c r="H10" s="2">
        <v>4375000</v>
      </c>
      <c r="I10" s="2">
        <v>4735000</v>
      </c>
      <c r="J10" s="2">
        <v>4400000</v>
      </c>
      <c r="K10" s="2">
        <v>4455000</v>
      </c>
      <c r="L10" s="2">
        <v>4720000</v>
      </c>
      <c r="M10" s="2">
        <v>4785000</v>
      </c>
    </row>
    <row r="11" spans="1:13" x14ac:dyDescent="0.3">
      <c r="A11" t="s">
        <v>22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</row>
    <row r="12" spans="1:13" x14ac:dyDescent="0.3">
      <c r="A12" t="s">
        <v>23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</row>
    <row r="13" spans="1:13" x14ac:dyDescent="0.3">
      <c r="A13" t="s">
        <v>24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</row>
    <row r="14" spans="1:13" x14ac:dyDescent="0.3">
      <c r="A14" t="s">
        <v>25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</row>
    <row r="15" spans="1:13" x14ac:dyDescent="0.3">
      <c r="A15" t="s">
        <v>26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</row>
    <row r="16" spans="1:13" x14ac:dyDescent="0.3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20" spans="5:16" x14ac:dyDescent="0.3"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5:16" x14ac:dyDescent="0.3"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5:16" x14ac:dyDescent="0.3"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5:16" x14ac:dyDescent="0.3"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5:16" x14ac:dyDescent="0.3">
      <c r="E24" s="1"/>
      <c r="F24" s="1"/>
      <c r="G24" s="1"/>
      <c r="H24" s="1"/>
      <c r="I24" s="1"/>
      <c r="J24" s="1"/>
      <c r="L24" s="1"/>
      <c r="M24" s="1"/>
      <c r="N24" s="1"/>
      <c r="O24" s="1"/>
      <c r="P24" s="1"/>
    </row>
    <row r="25" spans="5:16" x14ac:dyDescent="0.3"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5:16" x14ac:dyDescent="0.3"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5:16" x14ac:dyDescent="0.3"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5:16" x14ac:dyDescent="0.3"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35" spans="11:11" x14ac:dyDescent="0.3">
      <c r="K35" s="1"/>
    </row>
    <row r="36" spans="11:11" x14ac:dyDescent="0.3">
      <c r="K36" s="1"/>
    </row>
  </sheetData>
  <pageMargins left="0.7" right="0.7" top="0.75" bottom="0.75" header="0.3" footer="0.3"/>
  <pageSetup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6"/>
  <sheetViews>
    <sheetView topLeftCell="H1" workbookViewId="0">
      <selection activeCell="L3" sqref="L3"/>
    </sheetView>
  </sheetViews>
  <sheetFormatPr defaultRowHeight="14.4" x14ac:dyDescent="0.3"/>
  <cols>
    <col min="2" max="2" width="19.77734375" customWidth="1"/>
    <col min="3" max="3" width="19.21875" customWidth="1"/>
    <col min="4" max="4" width="18" customWidth="1"/>
    <col min="5" max="5" width="18.21875" customWidth="1"/>
    <col min="6" max="6" width="17.77734375" customWidth="1"/>
    <col min="7" max="8" width="17.6640625" customWidth="1"/>
    <col min="9" max="9" width="18" customWidth="1"/>
    <col min="10" max="11" width="18.77734375" customWidth="1"/>
    <col min="12" max="12" width="18.33203125" customWidth="1"/>
    <col min="13" max="13" width="12.44140625" bestFit="1" customWidth="1"/>
  </cols>
  <sheetData>
    <row r="1" spans="1:13" ht="15" thickBot="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ht="15" thickBot="1" x14ac:dyDescent="0.35">
      <c r="A2" t="s">
        <v>13</v>
      </c>
      <c r="B2" s="3">
        <v>198815000</v>
      </c>
      <c r="C2" s="3">
        <v>227410000</v>
      </c>
      <c r="D2" s="3">
        <v>121600000</v>
      </c>
      <c r="E2" s="3">
        <v>29335000</v>
      </c>
      <c r="F2" s="3">
        <v>23010000</v>
      </c>
      <c r="G2" s="3">
        <v>104257500</v>
      </c>
      <c r="H2" s="3">
        <v>172215000</v>
      </c>
      <c r="I2" s="3">
        <v>145783750</v>
      </c>
      <c r="J2" s="3">
        <v>167587500</v>
      </c>
      <c r="K2" s="3">
        <v>175110000</v>
      </c>
      <c r="L2" s="3">
        <v>206590000</v>
      </c>
      <c r="M2" s="3">
        <v>80811250</v>
      </c>
    </row>
    <row r="3" spans="1:13" ht="15" thickBot="1" x14ac:dyDescent="0.35">
      <c r="A3" t="s">
        <v>14</v>
      </c>
      <c r="B3" s="3">
        <v>29005000</v>
      </c>
      <c r="C3" s="3">
        <v>18505000</v>
      </c>
      <c r="D3" s="3">
        <v>48820000</v>
      </c>
      <c r="E3" s="3">
        <v>0</v>
      </c>
      <c r="F3" s="3">
        <v>0</v>
      </c>
      <c r="G3" s="3">
        <v>25560000</v>
      </c>
      <c r="H3" s="3">
        <v>90625000</v>
      </c>
      <c r="I3" s="3">
        <v>230625000</v>
      </c>
      <c r="J3" s="3">
        <v>297150000</v>
      </c>
      <c r="K3" s="3">
        <v>42025000</v>
      </c>
      <c r="L3" s="3">
        <v>114800000</v>
      </c>
      <c r="M3" s="3">
        <v>8740000</v>
      </c>
    </row>
    <row r="4" spans="1:13" ht="15" thickBot="1" x14ac:dyDescent="0.35">
      <c r="A4" t="s">
        <v>15</v>
      </c>
      <c r="B4" s="3">
        <v>28915000</v>
      </c>
      <c r="C4" s="3">
        <v>22185000</v>
      </c>
      <c r="D4" s="3">
        <v>12880000</v>
      </c>
      <c r="E4" s="3">
        <v>0</v>
      </c>
      <c r="F4" s="3">
        <v>1515000</v>
      </c>
      <c r="G4" s="3">
        <v>2015000</v>
      </c>
      <c r="H4" s="3">
        <v>11850000</v>
      </c>
      <c r="I4" s="3">
        <v>21130000</v>
      </c>
      <c r="J4" s="3">
        <v>23965000</v>
      </c>
      <c r="K4" s="3">
        <v>26910000</v>
      </c>
      <c r="L4" s="3">
        <v>33050000</v>
      </c>
      <c r="M4" s="3">
        <v>1695000</v>
      </c>
    </row>
    <row r="5" spans="1:13" ht="15" thickBot="1" x14ac:dyDescent="0.35">
      <c r="A5" t="s">
        <v>16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</row>
    <row r="6" spans="1:13" ht="15" thickBot="1" x14ac:dyDescent="0.35">
      <c r="A6" t="s">
        <v>17</v>
      </c>
      <c r="B6" s="3">
        <v>43650000</v>
      </c>
      <c r="C6" s="3">
        <v>55500000</v>
      </c>
      <c r="D6" s="3">
        <v>48900000</v>
      </c>
      <c r="E6" s="3">
        <v>0</v>
      </c>
      <c r="F6" s="3">
        <v>10200000</v>
      </c>
      <c r="G6" s="3">
        <v>5100000</v>
      </c>
      <c r="H6" s="3">
        <v>39700000</v>
      </c>
      <c r="I6" s="3">
        <v>54100000</v>
      </c>
      <c r="J6" s="3">
        <v>125000000</v>
      </c>
      <c r="K6" s="3">
        <v>149200000</v>
      </c>
      <c r="L6" s="3">
        <v>249800000</v>
      </c>
      <c r="M6" s="3">
        <v>97000000</v>
      </c>
    </row>
    <row r="7" spans="1:13" ht="15" thickBot="1" x14ac:dyDescent="0.35">
      <c r="A7" t="s">
        <v>18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</row>
    <row r="8" spans="1:13" ht="15" thickBot="1" x14ac:dyDescent="0.35">
      <c r="A8" t="s">
        <v>19</v>
      </c>
      <c r="B8" s="3">
        <v>2000000</v>
      </c>
      <c r="C8" s="3">
        <v>2000000</v>
      </c>
      <c r="D8" s="3">
        <v>0</v>
      </c>
      <c r="E8" s="3">
        <v>0</v>
      </c>
      <c r="F8" s="3">
        <v>0</v>
      </c>
      <c r="G8" s="3">
        <v>0</v>
      </c>
      <c r="H8" s="3">
        <v>20000000</v>
      </c>
      <c r="I8" s="3">
        <v>49920000</v>
      </c>
      <c r="J8" s="3">
        <v>3435000</v>
      </c>
      <c r="K8" s="3">
        <v>0</v>
      </c>
      <c r="L8" s="3">
        <v>19500000</v>
      </c>
      <c r="M8" s="3">
        <v>36000000</v>
      </c>
    </row>
    <row r="9" spans="1:13" ht="15" thickBot="1" x14ac:dyDescent="0.35">
      <c r="A9" t="s">
        <v>20</v>
      </c>
      <c r="B9" s="3">
        <v>960000</v>
      </c>
      <c r="C9" s="3">
        <v>500000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</row>
    <row r="10" spans="1:13" ht="15" thickBot="1" x14ac:dyDescent="0.35">
      <c r="A10" t="s">
        <v>21</v>
      </c>
      <c r="B10" s="3">
        <v>0</v>
      </c>
      <c r="C10" s="3">
        <v>14000000</v>
      </c>
      <c r="D10" s="3">
        <v>33265000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4000000</v>
      </c>
      <c r="L10" s="3">
        <v>0</v>
      </c>
      <c r="M10" s="3">
        <v>0</v>
      </c>
    </row>
    <row r="11" spans="1:13" ht="15" thickBot="1" x14ac:dyDescent="0.35">
      <c r="A11" t="s">
        <v>22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</row>
    <row r="12" spans="1:13" ht="15" thickBot="1" x14ac:dyDescent="0.35">
      <c r="A12" t="s">
        <v>23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</row>
    <row r="13" spans="1:13" ht="15" thickBot="1" x14ac:dyDescent="0.35">
      <c r="A13" t="s">
        <v>24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</row>
    <row r="14" spans="1:13" ht="15" thickBot="1" x14ac:dyDescent="0.35">
      <c r="A14" t="s">
        <v>25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</row>
    <row r="15" spans="1:13" ht="15" thickBot="1" x14ac:dyDescent="0.35">
      <c r="A15" t="s">
        <v>26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</row>
    <row r="16" spans="1:13" x14ac:dyDescent="0.3">
      <c r="B16" s="3">
        <f t="shared" ref="B16:M16" si="0">SUM(B2:B15)</f>
        <v>303345000</v>
      </c>
      <c r="C16" s="3">
        <f t="shared" si="0"/>
        <v>340100000</v>
      </c>
      <c r="D16" s="3">
        <f t="shared" si="0"/>
        <v>265465000</v>
      </c>
      <c r="E16" s="3">
        <f t="shared" si="0"/>
        <v>29335000</v>
      </c>
      <c r="F16" s="3">
        <f t="shared" si="0"/>
        <v>34725000</v>
      </c>
      <c r="G16" s="3">
        <f t="shared" si="0"/>
        <v>136932500</v>
      </c>
      <c r="H16" s="3">
        <f t="shared" si="0"/>
        <v>334390000</v>
      </c>
      <c r="I16" s="3">
        <f t="shared" si="0"/>
        <v>501558750</v>
      </c>
      <c r="J16" s="3">
        <f t="shared" si="0"/>
        <v>617137500</v>
      </c>
      <c r="K16" s="3">
        <f t="shared" si="0"/>
        <v>397245000</v>
      </c>
      <c r="L16" s="3">
        <f t="shared" si="0"/>
        <v>623740000</v>
      </c>
      <c r="M16" s="3">
        <f t="shared" si="0"/>
        <v>224246250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</vt:lpstr>
      <vt:lpstr>capaian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2025-12-01T07:52:04Z</dcterms:created>
  <dcterms:modified xsi:type="dcterms:W3CDTF">2025-12-05T09:17:23Z</dcterms:modified>
  <cp:category/>
</cp:coreProperties>
</file>